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ciara_donegan_pnnl_gov/Documents/Desktop/difference_plot_files/output/tables/"/>
    </mc:Choice>
  </mc:AlternateContent>
  <xr:revisionPtr revIDLastSave="135" documentId="8_{B8E89307-EF8F-4702-870B-D1F859CCC6E5}" xr6:coauthVersionLast="47" xr6:coauthVersionMax="47" xr10:uidLastSave="{A302BCDD-159B-4E55-ADB4-CDCC795A6F8E}"/>
  <bookViews>
    <workbookView xWindow="135" yWindow="-12825" windowWidth="29010" windowHeight="8235" xr2:uid="{3BB84791-5562-4C64-BD65-3395B0A87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" l="1"/>
  <c r="D62" i="1"/>
  <c r="I62" i="1"/>
  <c r="I61" i="1"/>
  <c r="G61" i="1"/>
  <c r="F61" i="1"/>
  <c r="D61" i="1"/>
  <c r="I60" i="1"/>
  <c r="J60" i="1" s="1"/>
  <c r="H60" i="1"/>
  <c r="G60" i="1"/>
  <c r="I59" i="1"/>
  <c r="J59" i="1" s="1"/>
  <c r="H59" i="1"/>
  <c r="G59" i="1"/>
  <c r="I58" i="1"/>
  <c r="J58" i="1" s="1"/>
  <c r="H58" i="1"/>
  <c r="G58" i="1"/>
  <c r="I57" i="1"/>
  <c r="J57" i="1" s="1"/>
  <c r="H57" i="1"/>
  <c r="G57" i="1"/>
  <c r="F53" i="1"/>
  <c r="D53" i="1"/>
  <c r="I53" i="1"/>
  <c r="I52" i="1"/>
  <c r="G52" i="1"/>
  <c r="F52" i="1"/>
  <c r="D52" i="1"/>
  <c r="I51" i="1"/>
  <c r="J51" i="1" s="1"/>
  <c r="H51" i="1"/>
  <c r="G51" i="1"/>
  <c r="I50" i="1"/>
  <c r="J50" i="1" s="1"/>
  <c r="H50" i="1"/>
  <c r="G50" i="1"/>
  <c r="I49" i="1"/>
  <c r="J49" i="1" s="1"/>
  <c r="H49" i="1"/>
  <c r="G49" i="1"/>
  <c r="I48" i="1"/>
  <c r="J48" i="1" s="1"/>
  <c r="H48" i="1"/>
  <c r="G48" i="1"/>
  <c r="F44" i="1"/>
  <c r="I44" i="1"/>
  <c r="D44" i="1"/>
  <c r="I43" i="1"/>
  <c r="G43" i="1"/>
  <c r="F43" i="1"/>
  <c r="D43" i="1"/>
  <c r="I42" i="1"/>
  <c r="J42" i="1" s="1"/>
  <c r="H42" i="1"/>
  <c r="G42" i="1"/>
  <c r="I41" i="1"/>
  <c r="J41" i="1" s="1"/>
  <c r="H41" i="1"/>
  <c r="G41" i="1"/>
  <c r="I40" i="1"/>
  <c r="J40" i="1" s="1"/>
  <c r="H40" i="1"/>
  <c r="G40" i="1"/>
  <c r="I39" i="1"/>
  <c r="J39" i="1" s="1"/>
  <c r="H39" i="1"/>
  <c r="G39" i="1"/>
  <c r="F35" i="1"/>
  <c r="I35" i="1"/>
  <c r="D35" i="1"/>
  <c r="I34" i="1"/>
  <c r="G34" i="1"/>
  <c r="F34" i="1"/>
  <c r="D34" i="1"/>
  <c r="I33" i="1"/>
  <c r="J33" i="1" s="1"/>
  <c r="H33" i="1"/>
  <c r="G33" i="1"/>
  <c r="I32" i="1"/>
  <c r="J32" i="1" s="1"/>
  <c r="H32" i="1"/>
  <c r="G32" i="1"/>
  <c r="I31" i="1"/>
  <c r="J31" i="1" s="1"/>
  <c r="H31" i="1"/>
  <c r="G31" i="1"/>
  <c r="I30" i="1"/>
  <c r="J30" i="1" s="1"/>
  <c r="H30" i="1"/>
  <c r="G30" i="1"/>
  <c r="F26" i="1"/>
  <c r="D26" i="1"/>
  <c r="I26" i="1"/>
  <c r="I25" i="1"/>
  <c r="G25" i="1"/>
  <c r="F25" i="1"/>
  <c r="D25" i="1"/>
  <c r="I24" i="1"/>
  <c r="J24" i="1" s="1"/>
  <c r="H24" i="1"/>
  <c r="G24" i="1"/>
  <c r="I23" i="1"/>
  <c r="J23" i="1" s="1"/>
  <c r="H23" i="1"/>
  <c r="G23" i="1"/>
  <c r="I22" i="1"/>
  <c r="J22" i="1" s="1"/>
  <c r="H22" i="1"/>
  <c r="G22" i="1"/>
  <c r="I21" i="1"/>
  <c r="J21" i="1" s="1"/>
  <c r="H21" i="1"/>
  <c r="G21" i="1"/>
  <c r="F17" i="1"/>
  <c r="D17" i="1"/>
  <c r="I17" i="1"/>
  <c r="I16" i="1"/>
  <c r="G16" i="1"/>
  <c r="F16" i="1"/>
  <c r="D16" i="1"/>
  <c r="I15" i="1"/>
  <c r="J15" i="1" s="1"/>
  <c r="H15" i="1"/>
  <c r="G15" i="1"/>
  <c r="I14" i="1"/>
  <c r="J14" i="1" s="1"/>
  <c r="H14" i="1"/>
  <c r="G14" i="1"/>
  <c r="I13" i="1"/>
  <c r="J13" i="1" s="1"/>
  <c r="H13" i="1"/>
  <c r="G13" i="1"/>
  <c r="I12" i="1"/>
  <c r="J12" i="1" s="1"/>
  <c r="H12" i="1"/>
  <c r="G12" i="1"/>
  <c r="I8" i="1"/>
  <c r="F8" i="1"/>
  <c r="F7" i="1"/>
  <c r="D8" i="1"/>
  <c r="D7" i="1"/>
  <c r="I7" i="1"/>
  <c r="G7" i="1"/>
  <c r="I6" i="1"/>
  <c r="J6" i="1" s="1"/>
  <c r="H6" i="1"/>
  <c r="G6" i="1"/>
  <c r="I5" i="1"/>
  <c r="J5" i="1" s="1"/>
  <c r="H5" i="1"/>
  <c r="G5" i="1"/>
  <c r="I4" i="1"/>
  <c r="J4" i="1" s="1"/>
  <c r="H4" i="1"/>
  <c r="G4" i="1"/>
  <c r="I3" i="1"/>
  <c r="J3" i="1" s="1"/>
  <c r="H3" i="1"/>
  <c r="G3" i="1"/>
  <c r="H43" i="1" l="1"/>
  <c r="H34" i="1"/>
  <c r="J43" i="1"/>
  <c r="H8" i="1"/>
  <c r="H62" i="1"/>
  <c r="J61" i="1"/>
  <c r="G62" i="1"/>
  <c r="H53" i="1"/>
  <c r="H52" i="1"/>
  <c r="J52" i="1"/>
  <c r="J34" i="1"/>
  <c r="H26" i="1"/>
  <c r="H25" i="1"/>
  <c r="J26" i="1"/>
  <c r="H17" i="1"/>
  <c r="J17" i="1"/>
  <c r="J16" i="1"/>
  <c r="G17" i="1"/>
  <c r="H7" i="1"/>
  <c r="G8" i="1"/>
  <c r="J62" i="1"/>
  <c r="H61" i="1"/>
  <c r="J53" i="1"/>
  <c r="G53" i="1"/>
  <c r="J44" i="1"/>
  <c r="G44" i="1"/>
  <c r="H44" i="1"/>
  <c r="J35" i="1"/>
  <c r="G35" i="1"/>
  <c r="H35" i="1"/>
  <c r="J25" i="1"/>
  <c r="G26" i="1"/>
  <c r="H16" i="1"/>
  <c r="J8" i="1"/>
  <c r="J7" i="1"/>
</calcChain>
</file>

<file path=xl/sharedStrings.xml><?xml version="1.0" encoding="utf-8"?>
<sst xmlns="http://schemas.openxmlformats.org/spreadsheetml/2006/main" count="105" uniqueCount="18">
  <si>
    <t>NH-atlantic</t>
  </si>
  <si>
    <t>sd</t>
  </si>
  <si>
    <t>NH-pacific</t>
  </si>
  <si>
    <t>difference</t>
  </si>
  <si>
    <t>ratio</t>
  </si>
  <si>
    <t>rlut</t>
  </si>
  <si>
    <t>rsut</t>
  </si>
  <si>
    <t>rlutcs</t>
  </si>
  <si>
    <t>rsutcs</t>
  </si>
  <si>
    <t>net_rad</t>
  </si>
  <si>
    <t>ICR</t>
  </si>
  <si>
    <t>CAM-ATRAS ratios, shp-ind-shift</t>
  </si>
  <si>
    <t>CESM1 ratios, shp-ind-shift</t>
  </si>
  <si>
    <t>E3SM ratios, shp-ind-shift</t>
  </si>
  <si>
    <t>GEOS ratios, shp-ind-shift</t>
  </si>
  <si>
    <t>GFDL ratios, shp-ind-shift</t>
  </si>
  <si>
    <t>GISS ratios, shp-ind-shift</t>
  </si>
  <si>
    <t>NorESM2 ratios, shp-ind-shift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</si>
</sst>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4710-D463-4703-8FA1-B5950B82E08E}">
  <dimension ref="A1:J62"/>
  <sheetViews>
    <sheetView tabSelected="1" workbookViewId="0"/>
  </sheetViews>
  <sheetFormatPr defaultRowHeight="14.5" x14ac:dyDescent="0.35"/>
  <cols>
    <col min="3" max="6" width="13.453125" customWidth="1"/>
    <col min="7" max="7" width="14.08984375" customWidth="1"/>
    <col min="8" max="8" width="11.81640625" customWidth="1"/>
    <col min="9" max="10" width="8.81640625" customWidth="1"/>
  </cols>
  <sheetData>
    <row r="1" spans="1:10" x14ac:dyDescent="0.35">
      <c r="A1" t="s">
        <v>11</v>
      </c>
    </row>
    <row r="2" spans="1:10" x14ac:dyDescent="0.35">
      <c r="C2" t="s">
        <v>0</v>
      </c>
      <c r="D2" t="s">
        <v>1</v>
      </c>
      <c r="E2" t="s">
        <v>2</v>
      </c>
      <c r="F2" t="s">
        <v>1</v>
      </c>
      <c r="G2" t="s">
        <v>3</v>
      </c>
      <c r="H2" t="s">
        <v>1</v>
      </c>
      <c r="I2" t="s">
        <v>4</v>
      </c>
      <c r="J2" t="s">
        <v>1</v>
      </c>
    </row>
    <row r="3" spans="1:10" x14ac:dyDescent="0.35">
      <c r="B3" t="s">
        <v>5</v>
      </c>
      <c r="C3" s="1">
        <v>3395553044.17203</v>
      </c>
      <c r="D3" s="1">
        <v>944080817043.69397</v>
      </c>
      <c r="E3" s="1">
        <v>762912446040.19397</v>
      </c>
      <c r="F3" s="1">
        <v>795001065959.95203</v>
      </c>
      <c r="G3" s="1">
        <f>C3-E3</f>
        <v>-759516892996.02197</v>
      </c>
      <c r="H3" s="1">
        <f>SQRT(D3^2+F3^2)</f>
        <v>1234226593453.3047</v>
      </c>
      <c r="I3" s="2">
        <f>C3/E3</f>
        <v>4.4507768378878113E-3</v>
      </c>
      <c r="J3" s="2">
        <f>SQRT((D3/C3)^2+(F3/E3)^2)*I3</f>
        <v>1.237478104795052</v>
      </c>
    </row>
    <row r="4" spans="1:10" x14ac:dyDescent="0.35">
      <c r="B4" t="s">
        <v>6</v>
      </c>
      <c r="C4" s="1">
        <v>4374947192688.77</v>
      </c>
      <c r="D4" s="1">
        <v>3012661603598.9399</v>
      </c>
      <c r="E4" s="1">
        <v>10869400118166.199</v>
      </c>
      <c r="F4" s="1">
        <v>4329497729170.7002</v>
      </c>
      <c r="G4" s="1">
        <f t="shared" ref="G4:G8" si="0">C4-E4</f>
        <v>-6494452925477.4297</v>
      </c>
      <c r="H4" s="1">
        <f t="shared" ref="H4:H8" si="1">SQRT(D4^2+F4^2)</f>
        <v>5274531308532.8809</v>
      </c>
      <c r="I4" s="2">
        <f t="shared" ref="I4:I8" si="2">C4/E4</f>
        <v>0.4025012553707405</v>
      </c>
      <c r="J4" s="2">
        <f t="shared" ref="J4:J8" si="3">SQRT((D4/C4)^2+(F4/E4)^2)*I4</f>
        <v>0.32019768613398547</v>
      </c>
    </row>
    <row r="5" spans="1:10" x14ac:dyDescent="0.35">
      <c r="B5" t="s">
        <v>7</v>
      </c>
      <c r="C5" s="1">
        <v>46465155758.6119</v>
      </c>
      <c r="D5" s="1">
        <v>348393581865.36603</v>
      </c>
      <c r="E5" s="1">
        <v>82726653222.007401</v>
      </c>
      <c r="F5" s="1">
        <v>535911854159.85797</v>
      </c>
      <c r="G5" s="1">
        <f t="shared" si="0"/>
        <v>-36261497463.3955</v>
      </c>
      <c r="H5" s="1">
        <f t="shared" si="1"/>
        <v>639202317982.37122</v>
      </c>
      <c r="I5" s="2">
        <f t="shared" si="2"/>
        <v>0.56167092404810337</v>
      </c>
      <c r="J5" s="2">
        <f t="shared" si="3"/>
        <v>5.5655081143298624</v>
      </c>
    </row>
    <row r="6" spans="1:10" x14ac:dyDescent="0.35">
      <c r="B6" t="s">
        <v>8</v>
      </c>
      <c r="C6" s="1">
        <v>550692080391.55103</v>
      </c>
      <c r="D6" s="1">
        <v>287907350441.77399</v>
      </c>
      <c r="E6" s="1">
        <v>628068633121.96301</v>
      </c>
      <c r="F6" s="1">
        <v>126152035163.138</v>
      </c>
      <c r="G6" s="1">
        <f t="shared" si="0"/>
        <v>-77376552730.411987</v>
      </c>
      <c r="H6" s="1">
        <f t="shared" si="1"/>
        <v>314332592033.03125</v>
      </c>
      <c r="I6" s="2">
        <f t="shared" si="2"/>
        <v>0.87680239284392592</v>
      </c>
      <c r="J6" s="2">
        <f t="shared" si="3"/>
        <v>0.49106719792735931</v>
      </c>
    </row>
    <row r="7" spans="1:10" x14ac:dyDescent="0.35">
      <c r="B7" t="s">
        <v>9</v>
      </c>
      <c r="C7" s="1">
        <v>4378342745732.9399</v>
      </c>
      <c r="D7" s="1">
        <f>SQRT(D3^2+D4^2)</f>
        <v>3157121873939.811</v>
      </c>
      <c r="E7" s="1">
        <v>10106487672126</v>
      </c>
      <c r="F7" s="1">
        <f>SQRT(F3^2+F4^2)</f>
        <v>4401883378938.123</v>
      </c>
      <c r="G7" s="1">
        <f t="shared" si="0"/>
        <v>-5728144926393.0605</v>
      </c>
      <c r="H7" s="1">
        <f t="shared" si="1"/>
        <v>5417009858647.1973</v>
      </c>
      <c r="I7" s="2">
        <f t="shared" si="2"/>
        <v>0.43322100494007848</v>
      </c>
      <c r="J7" s="2">
        <f t="shared" si="3"/>
        <v>0.36495005138016923</v>
      </c>
    </row>
    <row r="8" spans="1:10" x14ac:dyDescent="0.35">
      <c r="B8" t="s">
        <v>10</v>
      </c>
      <c r="C8" s="1">
        <v>3781185509582.7773</v>
      </c>
      <c r="D8" s="1">
        <f>SQRT(D3^2+D4^2+D5^2+D6^2)</f>
        <v>3189308272530.6763</v>
      </c>
      <c r="E8" s="1">
        <v>9395692385782.0293</v>
      </c>
      <c r="F8" s="1">
        <f>SQRT(F3^2+F4^2+F5^2+F6^2)</f>
        <v>4436180015866.8682</v>
      </c>
      <c r="G8" s="1">
        <f t="shared" si="0"/>
        <v>-5614506876199.252</v>
      </c>
      <c r="H8" s="1">
        <f t="shared" si="1"/>
        <v>5463641678442.0605</v>
      </c>
      <c r="I8" s="2">
        <f t="shared" si="2"/>
        <v>0.40243819766860733</v>
      </c>
      <c r="J8" s="2">
        <f t="shared" si="3"/>
        <v>0.38900683761619986</v>
      </c>
    </row>
    <row r="10" spans="1:10" x14ac:dyDescent="0.35">
      <c r="A10" t="s">
        <v>12</v>
      </c>
    </row>
    <row r="11" spans="1:10" x14ac:dyDescent="0.35">
      <c r="C11" t="s">
        <v>0</v>
      </c>
      <c r="D11" t="s">
        <v>1</v>
      </c>
      <c r="E11" t="s">
        <v>2</v>
      </c>
      <c r="F11" t="s">
        <v>1</v>
      </c>
      <c r="G11" t="s">
        <v>3</v>
      </c>
      <c r="H11" t="s">
        <v>1</v>
      </c>
      <c r="I11" t="s">
        <v>4</v>
      </c>
      <c r="J11" t="s">
        <v>1</v>
      </c>
    </row>
    <row r="12" spans="1:10" x14ac:dyDescent="0.35">
      <c r="B12" t="s">
        <v>5</v>
      </c>
      <c r="C12" s="1">
        <v>4991854913724.7998</v>
      </c>
      <c r="D12" s="1">
        <v>3498857826051.0498</v>
      </c>
      <c r="E12" s="1">
        <v>8044847914748.7998</v>
      </c>
      <c r="F12" s="1">
        <v>6642779099480.5996</v>
      </c>
      <c r="G12" s="1">
        <f>C12-E12</f>
        <v>-3052993001024</v>
      </c>
      <c r="H12" s="1">
        <f>SQRT(D12^2+F12^2)</f>
        <v>7507897192384.4941</v>
      </c>
      <c r="I12" s="2">
        <f>C12/E12</f>
        <v>0.62050332916463469</v>
      </c>
      <c r="J12" s="2">
        <f>SQRT((D12/C12)^2+(F12/E12)^2)*I12</f>
        <v>0.67206281399759027</v>
      </c>
    </row>
    <row r="13" spans="1:10" x14ac:dyDescent="0.35">
      <c r="B13" t="s">
        <v>6</v>
      </c>
      <c r="C13" s="1">
        <v>8913969041896.5801</v>
      </c>
      <c r="D13" s="1">
        <v>3979868915531.6201</v>
      </c>
      <c r="E13" s="1">
        <v>12875988503529.199</v>
      </c>
      <c r="F13" s="1">
        <v>5991757742463.0898</v>
      </c>
      <c r="G13" s="1">
        <f t="shared" ref="G13:G17" si="4">C13-E13</f>
        <v>-3962019461632.6191</v>
      </c>
      <c r="H13" s="1">
        <f t="shared" ref="H13:H17" si="5">SQRT(D13^2+F13^2)</f>
        <v>7193088170541.3027</v>
      </c>
      <c r="I13" s="2">
        <f t="shared" ref="I13:I17" si="6">C13/E13</f>
        <v>0.69229395781561442</v>
      </c>
      <c r="J13" s="2">
        <f t="shared" ref="J13:J17" si="7">SQRT((D13/C13)^2+(F13/E13)^2)*I13</f>
        <v>0.44645444856694338</v>
      </c>
    </row>
    <row r="14" spans="1:10" x14ac:dyDescent="0.35">
      <c r="B14" t="s">
        <v>7</v>
      </c>
      <c r="C14" s="1">
        <v>1358409070128.96</v>
      </c>
      <c r="D14" s="1">
        <v>1040558227246.16</v>
      </c>
      <c r="E14" s="1">
        <v>1918371127248.46</v>
      </c>
      <c r="F14" s="1">
        <v>1677808841645.8301</v>
      </c>
      <c r="G14" s="1">
        <f t="shared" si="4"/>
        <v>-559962057119.5</v>
      </c>
      <c r="H14" s="1">
        <f t="shared" si="5"/>
        <v>1974285676743.5134</v>
      </c>
      <c r="I14" s="2">
        <f t="shared" si="6"/>
        <v>0.70810546032213306</v>
      </c>
      <c r="J14" s="2">
        <f t="shared" si="7"/>
        <v>0.82326252127497501</v>
      </c>
    </row>
    <row r="15" spans="1:10" x14ac:dyDescent="0.35">
      <c r="B15" t="s">
        <v>8</v>
      </c>
      <c r="C15" s="1">
        <v>1200443815374.8101</v>
      </c>
      <c r="D15" s="1">
        <v>452836851498.495</v>
      </c>
      <c r="E15" s="1">
        <v>1217689835367.26</v>
      </c>
      <c r="F15" s="1">
        <v>394700976378.76001</v>
      </c>
      <c r="G15" s="1">
        <f t="shared" si="4"/>
        <v>-17246019992.449951</v>
      </c>
      <c r="H15" s="1">
        <f t="shared" si="5"/>
        <v>600707977997.14343</v>
      </c>
      <c r="I15" s="2">
        <f t="shared" si="6"/>
        <v>0.98583709948827114</v>
      </c>
      <c r="J15" s="2">
        <f t="shared" si="7"/>
        <v>0.49031353981807768</v>
      </c>
    </row>
    <row r="16" spans="1:10" x14ac:dyDescent="0.35">
      <c r="B16" t="s">
        <v>9</v>
      </c>
      <c r="C16" s="1">
        <v>3922114128171.77</v>
      </c>
      <c r="D16" s="1">
        <f>SQRT(D12^2+D13^2)</f>
        <v>5299185095062.5898</v>
      </c>
      <c r="E16" s="1">
        <v>4831140588780.3701</v>
      </c>
      <c r="F16" s="1">
        <f>SQRT(F12^2+F13^2)</f>
        <v>8945818856251.375</v>
      </c>
      <c r="G16" s="1">
        <f t="shared" si="4"/>
        <v>-909026460608.6001</v>
      </c>
      <c r="H16" s="1">
        <f t="shared" si="5"/>
        <v>10397549599814.188</v>
      </c>
      <c r="I16" s="2">
        <f t="shared" si="6"/>
        <v>0.81184019717420697</v>
      </c>
      <c r="J16" s="2">
        <f t="shared" si="7"/>
        <v>1.8609163149496983</v>
      </c>
    </row>
    <row r="17" spans="1:10" x14ac:dyDescent="0.35">
      <c r="B17" t="s">
        <v>10</v>
      </c>
      <c r="C17" s="1">
        <v>4080079382925.9204</v>
      </c>
      <c r="D17" s="1">
        <f>SQRT(D12^2+D13^2+D14^2+D15^2)</f>
        <v>5419334397331.3047</v>
      </c>
      <c r="E17" s="1">
        <v>5531821880661.5703</v>
      </c>
      <c r="F17" s="1">
        <f>SQRT(F12^2+F13^2+F14^2+F15^2)</f>
        <v>9110351605658.3633</v>
      </c>
      <c r="G17" s="1">
        <f t="shared" si="4"/>
        <v>-1451742497735.6499</v>
      </c>
      <c r="H17" s="1">
        <f t="shared" si="5"/>
        <v>10600362809301.395</v>
      </c>
      <c r="I17" s="2">
        <f t="shared" si="6"/>
        <v>0.73756521286219889</v>
      </c>
      <c r="J17" s="2">
        <f t="shared" si="7"/>
        <v>1.5605220603966714</v>
      </c>
    </row>
    <row r="19" spans="1:10" x14ac:dyDescent="0.35">
      <c r="A19" t="s">
        <v>13</v>
      </c>
    </row>
    <row r="20" spans="1:10" x14ac:dyDescent="0.35">
      <c r="C20" t="s">
        <v>0</v>
      </c>
      <c r="D20" t="s">
        <v>1</v>
      </c>
      <c r="E20" t="s">
        <v>2</v>
      </c>
      <c r="F20" t="s">
        <v>1</v>
      </c>
      <c r="G20" t="s">
        <v>3</v>
      </c>
      <c r="H20" t="s">
        <v>1</v>
      </c>
      <c r="I20" t="s">
        <v>4</v>
      </c>
      <c r="J20" t="s">
        <v>1</v>
      </c>
    </row>
    <row r="21" spans="1:10" x14ac:dyDescent="0.35">
      <c r="B21" t="s">
        <v>5</v>
      </c>
      <c r="C21" s="1">
        <v>1554874515464.79</v>
      </c>
      <c r="D21" s="1">
        <v>1550515374368.52</v>
      </c>
      <c r="E21" s="1">
        <v>972742729970.54395</v>
      </c>
      <c r="F21" s="1">
        <v>3243576507932.4702</v>
      </c>
      <c r="G21" s="1">
        <f>C21-E21</f>
        <v>582131785494.24609</v>
      </c>
      <c r="H21" s="1">
        <f>SQRT(D21^2+F21^2)</f>
        <v>3595119815661.8579</v>
      </c>
      <c r="I21" s="2">
        <f>C21/E21</f>
        <v>1.5984437277797736</v>
      </c>
      <c r="J21" s="2">
        <f>SQRT((D21/C21)^2+(F21/E21)^2)*I21</f>
        <v>5.5631943700175528</v>
      </c>
    </row>
    <row r="22" spans="1:10" x14ac:dyDescent="0.35">
      <c r="B22" t="s">
        <v>6</v>
      </c>
      <c r="C22" s="1">
        <v>1112094209340.05</v>
      </c>
      <c r="D22" s="1">
        <v>2661374639292.5098</v>
      </c>
      <c r="E22" s="1">
        <v>6643459599472.0098</v>
      </c>
      <c r="F22" s="1">
        <v>3808470248919.6401</v>
      </c>
      <c r="G22" s="1">
        <f t="shared" ref="G22:G26" si="8">C22-E22</f>
        <v>-5531365390131.96</v>
      </c>
      <c r="H22" s="1">
        <f t="shared" ref="H22:H26" si="9">SQRT(D22^2+F22^2)</f>
        <v>4646220034347.8525</v>
      </c>
      <c r="I22" s="2">
        <f t="shared" ref="I22:I26" si="10">C22/E22</f>
        <v>0.16739684989255205</v>
      </c>
      <c r="J22" s="2">
        <f t="shared" ref="J22:J26" si="11">SQRT((D22/C22)^2+(F22/E22)^2)*I22</f>
        <v>0.41193423717552452</v>
      </c>
    </row>
    <row r="23" spans="1:10" x14ac:dyDescent="0.35">
      <c r="B23" t="s">
        <v>7</v>
      </c>
      <c r="C23" s="1">
        <v>743720538940.87195</v>
      </c>
      <c r="D23" s="1">
        <v>577265397694.33496</v>
      </c>
      <c r="E23" s="1">
        <v>601515098331.302</v>
      </c>
      <c r="F23" s="1">
        <v>1344008716572.1899</v>
      </c>
      <c r="G23" s="1">
        <f t="shared" si="8"/>
        <v>142205440609.56995</v>
      </c>
      <c r="H23" s="1">
        <f t="shared" si="9"/>
        <v>1462735372375.0662</v>
      </c>
      <c r="I23" s="2">
        <f t="shared" si="10"/>
        <v>1.2364120884148551</v>
      </c>
      <c r="J23" s="2">
        <f t="shared" si="11"/>
        <v>2.9245483332568587</v>
      </c>
    </row>
    <row r="24" spans="1:10" x14ac:dyDescent="0.35">
      <c r="B24" t="s">
        <v>8</v>
      </c>
      <c r="C24" s="1">
        <v>682532492738.37305</v>
      </c>
      <c r="D24" s="1">
        <v>144157059406.55499</v>
      </c>
      <c r="E24" s="1">
        <v>1022164288002.45</v>
      </c>
      <c r="F24" s="1">
        <v>342174931604.73602</v>
      </c>
      <c r="G24" s="1">
        <f t="shared" si="8"/>
        <v>-339631795264.0769</v>
      </c>
      <c r="H24" s="1">
        <f t="shared" si="9"/>
        <v>371301685419.62048</v>
      </c>
      <c r="I24" s="2">
        <f t="shared" si="10"/>
        <v>0.66773267345526466</v>
      </c>
      <c r="J24" s="2">
        <f t="shared" si="11"/>
        <v>0.2642993538821265</v>
      </c>
    </row>
    <row r="25" spans="1:10" x14ac:dyDescent="0.35">
      <c r="B25" t="s">
        <v>9</v>
      </c>
      <c r="C25" s="1">
        <v>2666968724804.8398</v>
      </c>
      <c r="D25" s="1">
        <f>SQRT(D21^2+D22^2)</f>
        <v>3080099494630.4067</v>
      </c>
      <c r="E25" s="1">
        <v>5670716869501.4697</v>
      </c>
      <c r="F25" s="1">
        <f>SQRT(F21^2+F22^2)</f>
        <v>5002522783528.0693</v>
      </c>
      <c r="G25" s="1">
        <f t="shared" si="8"/>
        <v>-3003748144696.6299</v>
      </c>
      <c r="H25" s="1">
        <f t="shared" si="9"/>
        <v>5874712511820.4648</v>
      </c>
      <c r="I25" s="2">
        <f t="shared" si="10"/>
        <v>0.47030539280641276</v>
      </c>
      <c r="J25" s="2">
        <f t="shared" si="11"/>
        <v>0.68348638409166051</v>
      </c>
    </row>
    <row r="26" spans="1:10" x14ac:dyDescent="0.35">
      <c r="B26" t="s">
        <v>10</v>
      </c>
      <c r="C26" s="1">
        <v>1240715693125.5947</v>
      </c>
      <c r="D26" s="1">
        <f>SQRT(D21^2+D22^2+D23^2+D24^2)</f>
        <v>3137041519325.8809</v>
      </c>
      <c r="E26" s="1">
        <v>4047037483167.7178</v>
      </c>
      <c r="F26" s="1">
        <f>SQRT(F21^2+F22^2+F23^2+F24^2)</f>
        <v>5191211545849.2109</v>
      </c>
      <c r="G26" s="1">
        <f t="shared" si="8"/>
        <v>-2806321790042.123</v>
      </c>
      <c r="H26" s="1">
        <f t="shared" si="9"/>
        <v>6065451904659.0898</v>
      </c>
      <c r="I26" s="2">
        <f t="shared" si="10"/>
        <v>0.30657380819573121</v>
      </c>
      <c r="J26" s="2">
        <f t="shared" si="11"/>
        <v>0.86919159457293338</v>
      </c>
    </row>
    <row r="28" spans="1:10" x14ac:dyDescent="0.35">
      <c r="A28" t="s">
        <v>14</v>
      </c>
    </row>
    <row r="29" spans="1:10" x14ac:dyDescent="0.35">
      <c r="C29" t="s">
        <v>0</v>
      </c>
      <c r="D29" t="s">
        <v>1</v>
      </c>
      <c r="E29" t="s">
        <v>2</v>
      </c>
      <c r="F29" t="s">
        <v>1</v>
      </c>
      <c r="G29" t="s">
        <v>3</v>
      </c>
      <c r="H29" t="s">
        <v>1</v>
      </c>
      <c r="I29" t="s">
        <v>4</v>
      </c>
      <c r="J29" t="s">
        <v>1</v>
      </c>
    </row>
    <row r="30" spans="1:10" x14ac:dyDescent="0.35">
      <c r="B30" t="s">
        <v>5</v>
      </c>
      <c r="C30" s="1">
        <v>31753898445.131001</v>
      </c>
      <c r="D30" s="1">
        <v>70153483314.6987</v>
      </c>
      <c r="E30" s="1">
        <v>72738269675.268707</v>
      </c>
      <c r="F30" s="1">
        <v>174777877936.255</v>
      </c>
      <c r="G30" s="1">
        <f>C30-E30</f>
        <v>-40984371230.137711</v>
      </c>
      <c r="H30" s="1">
        <f>SQRT(D30^2+F30^2)</f>
        <v>188331669766.62784</v>
      </c>
      <c r="I30" s="2">
        <f>C30/E30</f>
        <v>0.43655009373872211</v>
      </c>
      <c r="J30" s="2">
        <f>SQRT((D30/C30)^2+(F30/E30)^2)*I30</f>
        <v>1.4249568952988212</v>
      </c>
    </row>
    <row r="31" spans="1:10" x14ac:dyDescent="0.35">
      <c r="B31" t="s">
        <v>6</v>
      </c>
      <c r="C31" s="1">
        <v>554387857796.31897</v>
      </c>
      <c r="D31" s="1">
        <v>400941906901.80701</v>
      </c>
      <c r="E31" s="1">
        <v>149638107742.29401</v>
      </c>
      <c r="F31" s="1">
        <v>274102119900.452</v>
      </c>
      <c r="G31" s="1">
        <f t="shared" ref="G31:G35" si="12">C31-E31</f>
        <v>404749750054.02496</v>
      </c>
      <c r="H31" s="1">
        <f t="shared" ref="H31:H35" si="13">SQRT(D31^2+F31^2)</f>
        <v>485681361433.58337</v>
      </c>
      <c r="I31" s="2">
        <f t="shared" ref="I31:I35" si="14">C31/E31</f>
        <v>3.7048574468148376</v>
      </c>
      <c r="J31" s="2">
        <f t="shared" ref="J31:J35" si="15">SQRT((D31/C31)^2+(F31/E31)^2)*I31</f>
        <v>7.2962277389424921</v>
      </c>
    </row>
    <row r="32" spans="1:10" x14ac:dyDescent="0.35">
      <c r="B32" t="s">
        <v>7</v>
      </c>
      <c r="C32" s="1">
        <v>3635748499.4924302</v>
      </c>
      <c r="D32" s="1">
        <v>11906957352.635799</v>
      </c>
      <c r="E32" s="1">
        <v>3307354269.40975</v>
      </c>
      <c r="F32" s="1">
        <v>6434463954.1975698</v>
      </c>
      <c r="G32" s="1">
        <f t="shared" si="12"/>
        <v>328394230.08268023</v>
      </c>
      <c r="H32" s="1">
        <f t="shared" si="13"/>
        <v>13534325242.706249</v>
      </c>
      <c r="I32" s="2">
        <f t="shared" si="14"/>
        <v>1.0992921239554079</v>
      </c>
      <c r="J32" s="2">
        <f t="shared" si="15"/>
        <v>4.1874789062822559</v>
      </c>
    </row>
    <row r="33" spans="1:10" x14ac:dyDescent="0.35">
      <c r="B33" t="s">
        <v>8</v>
      </c>
      <c r="C33" s="1">
        <v>433421096751.58502</v>
      </c>
      <c r="D33" s="1">
        <v>49278105507.5625</v>
      </c>
      <c r="E33" s="1">
        <v>706339501694.02295</v>
      </c>
      <c r="F33" s="1">
        <v>82226811020.213806</v>
      </c>
      <c r="G33" s="1">
        <f t="shared" si="12"/>
        <v>-272918404942.43793</v>
      </c>
      <c r="H33" s="1">
        <f t="shared" si="13"/>
        <v>95862297765.953934</v>
      </c>
      <c r="I33" s="2">
        <f t="shared" si="14"/>
        <v>0.61361582597618525</v>
      </c>
      <c r="J33" s="2">
        <f t="shared" si="15"/>
        <v>9.9849075593791067E-2</v>
      </c>
    </row>
    <row r="34" spans="1:10" x14ac:dyDescent="0.35">
      <c r="B34" t="s">
        <v>9</v>
      </c>
      <c r="C34" s="1">
        <v>522633959351.18799</v>
      </c>
      <c r="D34" s="1">
        <f>SQRT(D30^2+D31^2)</f>
        <v>407033074738.70349</v>
      </c>
      <c r="E34" s="1">
        <v>76899838067.024796</v>
      </c>
      <c r="F34" s="1">
        <f>SQRT(F30^2+F31^2)</f>
        <v>325083495043.69214</v>
      </c>
      <c r="G34" s="1">
        <f t="shared" si="12"/>
        <v>445734121284.16321</v>
      </c>
      <c r="H34" s="1">
        <f t="shared" si="13"/>
        <v>520917654414.84625</v>
      </c>
      <c r="I34" s="2">
        <f t="shared" si="14"/>
        <v>6.7962946670403612</v>
      </c>
      <c r="J34" s="2">
        <f t="shared" si="15"/>
        <v>29.213902977071349</v>
      </c>
    </row>
    <row r="35" spans="1:10" x14ac:dyDescent="0.35">
      <c r="B35" t="s">
        <v>10</v>
      </c>
      <c r="C35" s="1">
        <v>92848611099.095398</v>
      </c>
      <c r="D35" s="1">
        <f>SQRT(D30^2+D31^2+D32^2+D33^2)</f>
        <v>410178048226.68774</v>
      </c>
      <c r="E35" s="1">
        <v>626132309357.58801</v>
      </c>
      <c r="F35" s="1">
        <f>SQRT(F30^2+F31^2+F32^2+F33^2)</f>
        <v>335383257672.10571</v>
      </c>
      <c r="G35" s="1">
        <f t="shared" si="12"/>
        <v>-533283698258.49261</v>
      </c>
      <c r="H35" s="1">
        <f t="shared" si="13"/>
        <v>529837673984.9754</v>
      </c>
      <c r="I35" s="2">
        <f t="shared" si="14"/>
        <v>0.14828912309980954</v>
      </c>
      <c r="J35" s="2">
        <f t="shared" si="15"/>
        <v>0.65989587512520043</v>
      </c>
    </row>
    <row r="37" spans="1:10" x14ac:dyDescent="0.35">
      <c r="A37" t="s">
        <v>15</v>
      </c>
    </row>
    <row r="38" spans="1:10" x14ac:dyDescent="0.35">
      <c r="C38" t="s">
        <v>0</v>
      </c>
      <c r="D38" t="s">
        <v>1</v>
      </c>
      <c r="E38" t="s">
        <v>2</v>
      </c>
      <c r="F38" t="s">
        <v>1</v>
      </c>
      <c r="G38" t="s">
        <v>3</v>
      </c>
      <c r="H38" t="s">
        <v>1</v>
      </c>
      <c r="I38" t="s">
        <v>4</v>
      </c>
      <c r="J38" t="s">
        <v>1</v>
      </c>
    </row>
    <row r="39" spans="1:10" x14ac:dyDescent="0.35">
      <c r="B39" t="s">
        <v>5</v>
      </c>
      <c r="C39" s="1">
        <v>1823108790813.1101</v>
      </c>
      <c r="D39" s="1">
        <v>2286462538026.5098</v>
      </c>
      <c r="E39" s="1">
        <v>3539939877380.1099</v>
      </c>
      <c r="F39" s="1">
        <v>3111755767733.46</v>
      </c>
      <c r="G39" s="1">
        <f>C39-E39</f>
        <v>-1716831086566.9998</v>
      </c>
      <c r="H39" s="1">
        <f>SQRT(D39^2+F39^2)</f>
        <v>3861467971616.6343</v>
      </c>
      <c r="I39" s="2">
        <f>C39/E39</f>
        <v>0.51501123012359828</v>
      </c>
      <c r="J39" s="2">
        <f>SQRT((D39/C39)^2+(F39/E39)^2)*I39</f>
        <v>0.7887614608388297</v>
      </c>
    </row>
    <row r="40" spans="1:10" x14ac:dyDescent="0.35">
      <c r="B40" t="s">
        <v>6</v>
      </c>
      <c r="C40" s="1">
        <v>3872642538927.9502</v>
      </c>
      <c r="D40" s="1">
        <v>3126387403288.79</v>
      </c>
      <c r="E40" s="1">
        <v>5273597644083.1104</v>
      </c>
      <c r="F40" s="1">
        <v>6294781183921.9902</v>
      </c>
      <c r="G40" s="1">
        <f t="shared" ref="G40:G44" si="16">C40-E40</f>
        <v>-1400955105155.1602</v>
      </c>
      <c r="H40" s="1">
        <f t="shared" ref="H40:H44" si="17">SQRT(D40^2+F40^2)</f>
        <v>7028411509644.3486</v>
      </c>
      <c r="I40" s="2">
        <f t="shared" ref="I40:I44" si="18">C40/E40</f>
        <v>0.73434546969524517</v>
      </c>
      <c r="J40" s="2">
        <f t="shared" ref="J40:J44" si="19">SQRT((D40/C40)^2+(F40/E40)^2)*I40</f>
        <v>1.0581999441413532</v>
      </c>
    </row>
    <row r="41" spans="1:10" x14ac:dyDescent="0.35">
      <c r="B41" t="s">
        <v>7</v>
      </c>
      <c r="C41" s="1">
        <v>794225627522.60706</v>
      </c>
      <c r="D41" s="1">
        <v>926782924828.44104</v>
      </c>
      <c r="E41" s="1">
        <v>99705659400.077896</v>
      </c>
      <c r="F41" s="1">
        <v>665322490729.04797</v>
      </c>
      <c r="G41" s="1">
        <f t="shared" si="16"/>
        <v>694519968122.52917</v>
      </c>
      <c r="H41" s="1">
        <f t="shared" si="17"/>
        <v>1140868356307.3628</v>
      </c>
      <c r="I41" s="2">
        <f t="shared" si="18"/>
        <v>7.9657025719644015</v>
      </c>
      <c r="J41" s="2">
        <f t="shared" si="19"/>
        <v>53.960681365846312</v>
      </c>
    </row>
    <row r="42" spans="1:10" x14ac:dyDescent="0.35">
      <c r="B42" t="s">
        <v>8</v>
      </c>
      <c r="C42" s="1">
        <v>504023741097.47803</v>
      </c>
      <c r="D42" s="1">
        <v>874662337857.06995</v>
      </c>
      <c r="E42" s="1">
        <v>57465919930.415298</v>
      </c>
      <c r="F42" s="1">
        <v>508258294392.862</v>
      </c>
      <c r="G42" s="1">
        <f t="shared" si="16"/>
        <v>446557821167.06274</v>
      </c>
      <c r="H42" s="1">
        <f t="shared" si="17"/>
        <v>1011612919591.6472</v>
      </c>
      <c r="I42" s="2">
        <f t="shared" si="18"/>
        <v>8.7708287226201804</v>
      </c>
      <c r="J42" s="2">
        <f t="shared" si="19"/>
        <v>79.052832268803826</v>
      </c>
    </row>
    <row r="43" spans="1:10" x14ac:dyDescent="0.35">
      <c r="B43" t="s">
        <v>9</v>
      </c>
      <c r="C43" s="1">
        <v>5695751329741.0596</v>
      </c>
      <c r="D43" s="1">
        <f>SQRT(D39^2+D40^2)</f>
        <v>3873268533582.645</v>
      </c>
      <c r="E43" s="1">
        <v>1733657766703</v>
      </c>
      <c r="F43" s="1">
        <f>SQRT(F39^2+F40^2)</f>
        <v>7021915273732.7148</v>
      </c>
      <c r="G43" s="1">
        <f t="shared" si="16"/>
        <v>3962093563038.0596</v>
      </c>
      <c r="H43" s="1">
        <f t="shared" si="17"/>
        <v>8019320622392.0391</v>
      </c>
      <c r="I43" s="2">
        <f t="shared" si="18"/>
        <v>3.2853954448997209</v>
      </c>
      <c r="J43" s="2">
        <f t="shared" si="19"/>
        <v>13.49323838068196</v>
      </c>
    </row>
    <row r="44" spans="1:10" x14ac:dyDescent="0.35">
      <c r="B44" t="s">
        <v>10</v>
      </c>
      <c r="C44" s="1">
        <v>5405549443315.9297</v>
      </c>
      <c r="D44" s="1">
        <f>SQRT(D39^2+D40^2+D41^2+D42^2)</f>
        <v>4077520070859.3218</v>
      </c>
      <c r="E44" s="1">
        <v>1775897506172.6626</v>
      </c>
      <c r="F44" s="1">
        <f>SQRT(F39^2+F40^2+F41^2+F42^2)</f>
        <v>7071652891790.5635</v>
      </c>
      <c r="G44" s="1">
        <f t="shared" si="16"/>
        <v>3629651937143.2671</v>
      </c>
      <c r="H44" s="1">
        <f t="shared" si="17"/>
        <v>8162992377200.3145</v>
      </c>
      <c r="I44" s="2">
        <f t="shared" si="18"/>
        <v>3.0438408886364932</v>
      </c>
      <c r="J44" s="2">
        <f t="shared" si="19"/>
        <v>12.336178486788354</v>
      </c>
    </row>
    <row r="46" spans="1:10" x14ac:dyDescent="0.35">
      <c r="A46" t="s">
        <v>16</v>
      </c>
    </row>
    <row r="47" spans="1:10" x14ac:dyDescent="0.35">
      <c r="C47" t="s">
        <v>0</v>
      </c>
      <c r="D47" t="s">
        <v>1</v>
      </c>
      <c r="E47" t="s">
        <v>2</v>
      </c>
      <c r="F47" t="s">
        <v>1</v>
      </c>
      <c r="G47" t="s">
        <v>3</v>
      </c>
      <c r="H47" t="s">
        <v>1</v>
      </c>
      <c r="I47" t="s">
        <v>4</v>
      </c>
      <c r="J47" t="s">
        <v>1</v>
      </c>
    </row>
    <row r="48" spans="1:10" x14ac:dyDescent="0.35">
      <c r="B48" t="s">
        <v>5</v>
      </c>
      <c r="C48" s="1">
        <v>555665575721.70105</v>
      </c>
      <c r="D48" s="1">
        <v>386432152205.867</v>
      </c>
      <c r="E48" s="1">
        <v>221650853918.95599</v>
      </c>
      <c r="F48" s="1">
        <v>1050672042856.97</v>
      </c>
      <c r="G48" s="1">
        <f>C48-E48</f>
        <v>334014721802.74506</v>
      </c>
      <c r="H48" s="1">
        <f>SQRT(D48^2+F48^2)</f>
        <v>1119482715319.7573</v>
      </c>
      <c r="I48" s="2">
        <f>C48/E48</f>
        <v>2.5069408301258953</v>
      </c>
      <c r="J48" s="2">
        <f>SQRT((D48/C48)^2+(F48/E48)^2)*I48</f>
        <v>12.010639978513602</v>
      </c>
    </row>
    <row r="49" spans="1:10" x14ac:dyDescent="0.35">
      <c r="B49" t="s">
        <v>6</v>
      </c>
      <c r="C49" s="1">
        <v>1432486882129.01</v>
      </c>
      <c r="D49" s="1">
        <v>2039296432267.2</v>
      </c>
      <c r="E49" s="1">
        <v>5301590600270.5801</v>
      </c>
      <c r="F49" s="1">
        <v>5194573449538.0303</v>
      </c>
      <c r="G49" s="1">
        <f t="shared" ref="G49:G53" si="20">C49-E49</f>
        <v>-3869103718141.5703</v>
      </c>
      <c r="H49" s="1">
        <f t="shared" ref="H49:H53" si="21">SQRT(D49^2+F49^2)</f>
        <v>5580530732941.3711</v>
      </c>
      <c r="I49" s="2">
        <f t="shared" ref="I49:I53" si="22">C49/E49</f>
        <v>0.27019945335950674</v>
      </c>
      <c r="J49" s="2">
        <f t="shared" ref="J49:J53" si="23">SQRT((D49/C49)^2+(F49/E49)^2)*I49</f>
        <v>0.46695975748981583</v>
      </c>
    </row>
    <row r="50" spans="1:10" x14ac:dyDescent="0.35">
      <c r="B50" t="s">
        <v>7</v>
      </c>
      <c r="C50" s="1">
        <v>45368433876.080002</v>
      </c>
      <c r="D50" s="1">
        <v>259900886858.41599</v>
      </c>
      <c r="E50" s="1">
        <v>140868164258.776</v>
      </c>
      <c r="F50" s="1">
        <v>389998895813.73499</v>
      </c>
      <c r="G50" s="1">
        <f t="shared" si="20"/>
        <v>-95499730382.695999</v>
      </c>
      <c r="H50" s="1">
        <f t="shared" si="21"/>
        <v>468665776140.86957</v>
      </c>
      <c r="I50" s="2">
        <f t="shared" si="22"/>
        <v>0.32206307304990367</v>
      </c>
      <c r="J50" s="2">
        <f t="shared" si="23"/>
        <v>2.04915371240378</v>
      </c>
    </row>
    <row r="51" spans="1:10" x14ac:dyDescent="0.35">
      <c r="B51" t="s">
        <v>8</v>
      </c>
      <c r="C51" s="1">
        <v>1978876852441.01</v>
      </c>
      <c r="D51" s="1">
        <v>321391891665.97699</v>
      </c>
      <c r="E51" s="1">
        <v>1871028572346.3</v>
      </c>
      <c r="F51" s="1">
        <v>188038622990.37399</v>
      </c>
      <c r="G51" s="1">
        <f t="shared" si="20"/>
        <v>107848280094.70996</v>
      </c>
      <c r="H51" s="1">
        <f t="shared" si="21"/>
        <v>372359062955.03418</v>
      </c>
      <c r="I51" s="2">
        <f t="shared" si="22"/>
        <v>1.0576411721812813</v>
      </c>
      <c r="J51" s="2">
        <f t="shared" si="23"/>
        <v>0.20200031539817756</v>
      </c>
    </row>
    <row r="52" spans="1:10" x14ac:dyDescent="0.35">
      <c r="B52" t="s">
        <v>9</v>
      </c>
      <c r="C52" s="1">
        <v>876821306407.30896</v>
      </c>
      <c r="D52" s="1">
        <f>SQRT(D48^2+D49^2)</f>
        <v>2075586603087.4714</v>
      </c>
      <c r="E52" s="1">
        <v>5079939746351.6201</v>
      </c>
      <c r="F52" s="1">
        <f>SQRT(F48^2+F49^2)</f>
        <v>5299764623479.6758</v>
      </c>
      <c r="G52" s="1">
        <f t="shared" si="20"/>
        <v>-4203118439944.311</v>
      </c>
      <c r="H52" s="1">
        <f t="shared" si="21"/>
        <v>5691710183345.8506</v>
      </c>
      <c r="I52" s="2">
        <f t="shared" si="22"/>
        <v>0.17260466662759855</v>
      </c>
      <c r="J52" s="2">
        <f t="shared" si="23"/>
        <v>0.44650664761196984</v>
      </c>
    </row>
    <row r="53" spans="1:10" x14ac:dyDescent="0.35">
      <c r="B53" t="s">
        <v>10</v>
      </c>
      <c r="C53" s="1">
        <v>1056687112157.62</v>
      </c>
      <c r="D53" s="1">
        <f>SQRT(D48^2+D49^2+D50^2+D51^2)</f>
        <v>2116341410532.4819</v>
      </c>
      <c r="E53" s="1">
        <v>3349779338264.0967</v>
      </c>
      <c r="F53" s="1">
        <f>SQRT(F48^2+F49^2+F50^2+F51^2)</f>
        <v>5317420683635.8848</v>
      </c>
      <c r="G53" s="1">
        <f t="shared" si="20"/>
        <v>-2293092226106.4766</v>
      </c>
      <c r="H53" s="1">
        <f t="shared" si="21"/>
        <v>5723099133572.0664</v>
      </c>
      <c r="I53" s="2">
        <f t="shared" si="22"/>
        <v>0.31544976711964862</v>
      </c>
      <c r="J53" s="2">
        <f t="shared" si="23"/>
        <v>0.80616152857180634</v>
      </c>
    </row>
    <row r="55" spans="1:10" x14ac:dyDescent="0.35">
      <c r="A55" t="s">
        <v>17</v>
      </c>
    </row>
    <row r="56" spans="1:10" x14ac:dyDescent="0.35">
      <c r="C56" t="s">
        <v>0</v>
      </c>
      <c r="D56" t="s">
        <v>1</v>
      </c>
      <c r="E56" t="s">
        <v>2</v>
      </c>
      <c r="F56" t="s">
        <v>1</v>
      </c>
      <c r="G56" t="s">
        <v>3</v>
      </c>
      <c r="H56" t="s">
        <v>1</v>
      </c>
      <c r="I56" t="s">
        <v>4</v>
      </c>
      <c r="J56" t="s">
        <v>1</v>
      </c>
    </row>
    <row r="57" spans="1:10" x14ac:dyDescent="0.35">
      <c r="B57" t="s">
        <v>5</v>
      </c>
      <c r="C57" s="1">
        <v>984594004558.75</v>
      </c>
      <c r="D57" s="1">
        <v>3731549748405.0098</v>
      </c>
      <c r="E57" s="1">
        <v>3305889845175.5898</v>
      </c>
      <c r="F57" s="1">
        <v>2815447048912.6899</v>
      </c>
      <c r="G57" s="1">
        <f>C57-E57</f>
        <v>-2321295840616.8398</v>
      </c>
      <c r="H57" s="1">
        <f>SQRT(D57^2+F57^2)</f>
        <v>4674527314077.0781</v>
      </c>
      <c r="I57" s="2">
        <f>C57/E57</f>
        <v>0.29783025166298427</v>
      </c>
      <c r="J57" s="2">
        <f>SQRT((D57/C57)^2+(F57/E57)^2)*I57</f>
        <v>1.1569057628492609</v>
      </c>
    </row>
    <row r="58" spans="1:10" x14ac:dyDescent="0.35">
      <c r="B58" t="s">
        <v>6</v>
      </c>
      <c r="C58" s="1">
        <v>2404269263216.3101</v>
      </c>
      <c r="D58" s="1">
        <v>3125782476725.2998</v>
      </c>
      <c r="E58" s="1">
        <v>500945482234.33002</v>
      </c>
      <c r="F58" s="1">
        <v>3207680937997.7202</v>
      </c>
      <c r="G58" s="1">
        <f t="shared" ref="G58:G62" si="24">C58-E58</f>
        <v>1903323780981.98</v>
      </c>
      <c r="H58" s="1">
        <f t="shared" ref="H58:H62" si="25">SQRT(D58^2+F58^2)</f>
        <v>4478809338629.7305</v>
      </c>
      <c r="I58" s="2">
        <f t="shared" ref="I58:I62" si="26">C58/E58</f>
        <v>4.7994629125962494</v>
      </c>
      <c r="J58" s="2">
        <f t="shared" ref="J58:J62" si="27">SQRT((D58/C58)^2+(F58/E58)^2)*I58</f>
        <v>31.35923209822392</v>
      </c>
    </row>
    <row r="59" spans="1:10" x14ac:dyDescent="0.35">
      <c r="B59" t="s">
        <v>7</v>
      </c>
      <c r="C59" s="1">
        <v>380454700552.89697</v>
      </c>
      <c r="D59" s="1">
        <v>1155212303849.3101</v>
      </c>
      <c r="E59" s="1">
        <v>211094576818.08301</v>
      </c>
      <c r="F59" s="1">
        <v>1120580191097.46</v>
      </c>
      <c r="G59" s="1">
        <f t="shared" si="24"/>
        <v>169360123734.81396</v>
      </c>
      <c r="H59" s="1">
        <f t="shared" si="25"/>
        <v>1609414623906.7329</v>
      </c>
      <c r="I59" s="2">
        <f t="shared" si="26"/>
        <v>1.8022950010732159</v>
      </c>
      <c r="J59" s="2">
        <f t="shared" si="27"/>
        <v>11.021902420055001</v>
      </c>
    </row>
    <row r="60" spans="1:10" x14ac:dyDescent="0.35">
      <c r="B60" t="s">
        <v>8</v>
      </c>
      <c r="C60" s="1">
        <v>437300055706.88702</v>
      </c>
      <c r="D60" s="1">
        <v>383894615074.27802</v>
      </c>
      <c r="E60" s="1">
        <v>579384984975.98401</v>
      </c>
      <c r="F60" s="1">
        <v>131472176341.22301</v>
      </c>
      <c r="G60" s="1">
        <f t="shared" si="24"/>
        <v>-142084929269.09698</v>
      </c>
      <c r="H60" s="1">
        <f t="shared" si="25"/>
        <v>405783203983.26703</v>
      </c>
      <c r="I60" s="2">
        <f t="shared" si="26"/>
        <v>0.75476594500462157</v>
      </c>
      <c r="J60" s="2">
        <f t="shared" si="27"/>
        <v>0.68436716094909489</v>
      </c>
    </row>
    <row r="61" spans="1:10" x14ac:dyDescent="0.35">
      <c r="B61" t="s">
        <v>9</v>
      </c>
      <c r="C61" s="1">
        <v>1419675258657.5601</v>
      </c>
      <c r="D61" s="1">
        <f>SQRT(D57^2+D58^2)</f>
        <v>4867748927032.334</v>
      </c>
      <c r="E61" s="1">
        <v>3806835327409.9199</v>
      </c>
      <c r="F61" s="1">
        <f>SQRT(F57^2+F58^2)</f>
        <v>4268015825325.0547</v>
      </c>
      <c r="G61" s="1">
        <f t="shared" si="24"/>
        <v>-2387160068752.3599</v>
      </c>
      <c r="H61" s="1">
        <f t="shared" si="25"/>
        <v>6473865823590.2246</v>
      </c>
      <c r="I61" s="2">
        <f t="shared" si="26"/>
        <v>0.37292794054831713</v>
      </c>
      <c r="J61" s="2">
        <f t="shared" si="27"/>
        <v>1.3453074548128259</v>
      </c>
    </row>
    <row r="62" spans="1:10" x14ac:dyDescent="0.35">
      <c r="B62" t="s">
        <v>10</v>
      </c>
      <c r="C62" s="1">
        <v>1362829903503.5701</v>
      </c>
      <c r="D62" s="1">
        <f>SQRT(D57^2+D58^2+D59^2+D60^2)</f>
        <v>5017655843027.9277</v>
      </c>
      <c r="E62" s="1">
        <v>3438544919252.019</v>
      </c>
      <c r="F62" s="1">
        <f>SQRT(F57^2+F58^2+F59^2+F60^2)</f>
        <v>4414628408264.6211</v>
      </c>
      <c r="G62" s="1">
        <f t="shared" si="24"/>
        <v>-2075715015748.449</v>
      </c>
      <c r="H62" s="1">
        <f t="shared" si="25"/>
        <v>6683248771527.9111</v>
      </c>
      <c r="I62" s="2">
        <f t="shared" si="26"/>
        <v>0.3963391305064074</v>
      </c>
      <c r="J62" s="2">
        <f t="shared" si="27"/>
        <v>1.5454126327852515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Donegan, Ciara E</dc:creator>
  <cp:lastModifiedBy>Donegan, Ciara E</cp:lastModifiedBy>
  <dcterms:created xsi:type="dcterms:W3CDTF">2024-06-07T14:27:51Z</dcterms:created>
  <dcterms:modified xsi:type="dcterms:W3CDTF">2024-06-07T17:52:31Z</dcterms:modified>
</cp:coreProperties>
</file>