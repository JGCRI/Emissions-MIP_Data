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ciara_donegan_pnnl_gov/Documents/Desktop/difference_plot_files/output/tables/"/>
    </mc:Choice>
  </mc:AlternateContent>
  <xr:revisionPtr revIDLastSave="181" documentId="8_{FB403565-A134-4D69-9475-13231B747E31}" xr6:coauthVersionLast="47" xr6:coauthVersionMax="47" xr10:uidLastSave="{623BE468-95D8-4E4A-944B-A3D1BE9CFC1E}"/>
  <bookViews>
    <workbookView xWindow="1940" yWindow="1750" windowWidth="14490" windowHeight="8230" xr2:uid="{F948DB1A-97D9-43DA-8F97-7F1B684E0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H7" i="1"/>
  <c r="J62" i="1"/>
  <c r="I62" i="1"/>
  <c r="H62" i="1"/>
  <c r="G62" i="1"/>
  <c r="I61" i="1"/>
  <c r="J61" i="1" s="1"/>
  <c r="H61" i="1"/>
  <c r="G61" i="1"/>
  <c r="I60" i="1"/>
  <c r="J60" i="1" s="1"/>
  <c r="H60" i="1"/>
  <c r="G60" i="1"/>
  <c r="J59" i="1"/>
  <c r="I59" i="1"/>
  <c r="H59" i="1"/>
  <c r="G59" i="1"/>
  <c r="I58" i="1"/>
  <c r="J58" i="1" s="1"/>
  <c r="H58" i="1"/>
  <c r="G58" i="1"/>
  <c r="I57" i="1"/>
  <c r="J57" i="1" s="1"/>
  <c r="H57" i="1"/>
  <c r="G57" i="1"/>
  <c r="F62" i="1"/>
  <c r="F61" i="1"/>
  <c r="D62" i="1"/>
  <c r="D61" i="1"/>
  <c r="I53" i="1"/>
  <c r="J53" i="1" s="1"/>
  <c r="H53" i="1"/>
  <c r="G53" i="1"/>
  <c r="J52" i="1"/>
  <c r="I52" i="1"/>
  <c r="H52" i="1"/>
  <c r="G52" i="1"/>
  <c r="I51" i="1"/>
  <c r="J51" i="1" s="1"/>
  <c r="H51" i="1"/>
  <c r="G51" i="1"/>
  <c r="J50" i="1"/>
  <c r="I50" i="1"/>
  <c r="H50" i="1"/>
  <c r="G50" i="1"/>
  <c r="I49" i="1"/>
  <c r="J49" i="1" s="1"/>
  <c r="H49" i="1"/>
  <c r="G49" i="1"/>
  <c r="I48" i="1"/>
  <c r="J48" i="1" s="1"/>
  <c r="H48" i="1"/>
  <c r="G48" i="1"/>
  <c r="F53" i="1"/>
  <c r="F52" i="1"/>
  <c r="D53" i="1"/>
  <c r="D52" i="1"/>
  <c r="I44" i="1"/>
  <c r="J44" i="1" s="1"/>
  <c r="H44" i="1"/>
  <c r="G44" i="1"/>
  <c r="J43" i="1"/>
  <c r="I43" i="1"/>
  <c r="H43" i="1"/>
  <c r="G43" i="1"/>
  <c r="I42" i="1"/>
  <c r="J42" i="1" s="1"/>
  <c r="H42" i="1"/>
  <c r="G42" i="1"/>
  <c r="I41" i="1"/>
  <c r="J41" i="1" s="1"/>
  <c r="H41" i="1"/>
  <c r="G41" i="1"/>
  <c r="J40" i="1"/>
  <c r="I40" i="1"/>
  <c r="H40" i="1"/>
  <c r="G40" i="1"/>
  <c r="I39" i="1"/>
  <c r="J39" i="1" s="1"/>
  <c r="H39" i="1"/>
  <c r="G39" i="1"/>
  <c r="F44" i="1"/>
  <c r="F43" i="1"/>
  <c r="D44" i="1"/>
  <c r="D43" i="1"/>
  <c r="J35" i="1"/>
  <c r="J34" i="1"/>
  <c r="J33" i="1"/>
  <c r="J32" i="1"/>
  <c r="J31" i="1"/>
  <c r="J30" i="1"/>
  <c r="I31" i="1"/>
  <c r="I32" i="1"/>
  <c r="I33" i="1"/>
  <c r="I34" i="1"/>
  <c r="I35" i="1"/>
  <c r="I30" i="1"/>
  <c r="H35" i="1"/>
  <c r="H34" i="1"/>
  <c r="H33" i="1"/>
  <c r="H32" i="1"/>
  <c r="H31" i="1"/>
  <c r="H30" i="1"/>
  <c r="G31" i="1"/>
  <c r="G32" i="1"/>
  <c r="G33" i="1"/>
  <c r="G34" i="1"/>
  <c r="G35" i="1"/>
  <c r="G30" i="1"/>
  <c r="F35" i="1"/>
  <c r="F34" i="1"/>
  <c r="D35" i="1"/>
  <c r="D34" i="1"/>
  <c r="C35" i="1"/>
  <c r="J26" i="1"/>
  <c r="J25" i="1"/>
  <c r="J24" i="1"/>
  <c r="J23" i="1"/>
  <c r="J22" i="1"/>
  <c r="J21" i="1"/>
  <c r="I22" i="1"/>
  <c r="I23" i="1"/>
  <c r="I24" i="1"/>
  <c r="I25" i="1"/>
  <c r="I26" i="1"/>
  <c r="I21" i="1"/>
  <c r="H26" i="1"/>
  <c r="H25" i="1"/>
  <c r="H24" i="1"/>
  <c r="H23" i="1"/>
  <c r="H22" i="1"/>
  <c r="H21" i="1"/>
  <c r="G22" i="1"/>
  <c r="G23" i="1"/>
  <c r="G24" i="1"/>
  <c r="G25" i="1"/>
  <c r="G26" i="1"/>
  <c r="G21" i="1"/>
  <c r="F26" i="1"/>
  <c r="F25" i="1"/>
  <c r="D26" i="1"/>
  <c r="D25" i="1"/>
  <c r="J17" i="1"/>
  <c r="J16" i="1"/>
  <c r="J15" i="1"/>
  <c r="J14" i="1"/>
  <c r="J13" i="1"/>
  <c r="J12" i="1"/>
  <c r="I17" i="1"/>
  <c r="I16" i="1"/>
  <c r="I15" i="1"/>
  <c r="I14" i="1"/>
  <c r="I13" i="1"/>
  <c r="I12" i="1"/>
  <c r="H17" i="1"/>
  <c r="H16" i="1"/>
  <c r="H15" i="1"/>
  <c r="H14" i="1"/>
  <c r="H13" i="1"/>
  <c r="H12" i="1"/>
  <c r="G13" i="1"/>
  <c r="G14" i="1"/>
  <c r="G15" i="1"/>
  <c r="G16" i="1"/>
  <c r="G17" i="1"/>
  <c r="G12" i="1"/>
  <c r="F17" i="1"/>
  <c r="F16" i="1"/>
  <c r="D17" i="1"/>
  <c r="D16" i="1"/>
  <c r="J4" i="1"/>
  <c r="J5" i="1"/>
  <c r="J6" i="1"/>
  <c r="J8" i="1"/>
  <c r="J3" i="1"/>
  <c r="H4" i="1"/>
  <c r="H5" i="1"/>
  <c r="H6" i="1"/>
  <c r="H8" i="1"/>
  <c r="H3" i="1"/>
  <c r="F8" i="1"/>
  <c r="F7" i="1"/>
  <c r="D8" i="1"/>
  <c r="E8" i="1"/>
  <c r="G8" i="1" s="1"/>
  <c r="E7" i="1"/>
  <c r="G7" i="1" s="1"/>
  <c r="E6" i="1"/>
  <c r="E5" i="1"/>
  <c r="E4" i="1"/>
  <c r="E3" i="1"/>
  <c r="C8" i="1"/>
  <c r="I8" i="1" s="1"/>
  <c r="C7" i="1"/>
  <c r="I7" i="1" s="1"/>
  <c r="C6" i="1"/>
  <c r="I6" i="1" s="1"/>
  <c r="C4" i="1"/>
  <c r="I4" i="1" s="1"/>
  <c r="C5" i="1"/>
  <c r="I5" i="1" s="1"/>
  <c r="C3" i="1"/>
  <c r="I3" i="1" s="1"/>
  <c r="J7" i="1" l="1"/>
  <c r="G3" i="1"/>
  <c r="G6" i="1"/>
  <c r="G5" i="1"/>
  <c r="G4" i="1"/>
</calcChain>
</file>

<file path=xl/sharedStrings.xml><?xml version="1.0" encoding="utf-8"?>
<sst xmlns="http://schemas.openxmlformats.org/spreadsheetml/2006/main" count="105" uniqueCount="18">
  <si>
    <t>CAM-ATRAS ratios, shp-60p-red</t>
  </si>
  <si>
    <t>rlut</t>
  </si>
  <si>
    <t>rsut</t>
  </si>
  <si>
    <t>rlutcs</t>
  </si>
  <si>
    <t>rsutcs</t>
  </si>
  <si>
    <t>net_rad</t>
  </si>
  <si>
    <t>ICR</t>
  </si>
  <si>
    <t>NH-atlantic</t>
  </si>
  <si>
    <t>NH-pacific</t>
  </si>
  <si>
    <t>difference</t>
  </si>
  <si>
    <t>ratio</t>
  </si>
  <si>
    <t>sd</t>
  </si>
  <si>
    <t>CESM1 ratios, shp-60p-red</t>
  </si>
  <si>
    <t>E3SM ratios, shp-60p-red</t>
  </si>
  <si>
    <t>GEOS ratios, shp-60p-red</t>
  </si>
  <si>
    <t>GFDL ratios, shp-60p-red</t>
  </si>
  <si>
    <t>GISS ratios, shp-60p-red</t>
  </si>
  <si>
    <t>NorESM2 ratios, shp-60p-red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</si>
</sst>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4F12-2BB5-4EB1-A6BB-0D1E76573B6D}">
  <dimension ref="A1:J62"/>
  <sheetViews>
    <sheetView tabSelected="1" workbookViewId="0">
      <selection activeCell="I3" sqref="I3:J8"/>
    </sheetView>
  </sheetViews>
  <sheetFormatPr defaultRowHeight="14.5" x14ac:dyDescent="0.35"/>
  <cols>
    <col min="3" max="6" width="13.453125" bestFit="1" customWidth="1"/>
    <col min="7" max="7" width="14.08984375" bestFit="1" customWidth="1"/>
    <col min="8" max="8" width="11.81640625" customWidth="1"/>
    <col min="9" max="9" width="8.81640625" bestFit="1" customWidth="1"/>
    <col min="10" max="10" width="9.36328125" bestFit="1" customWidth="1"/>
  </cols>
  <sheetData>
    <row r="1" spans="1:10" x14ac:dyDescent="0.35">
      <c r="A1" t="s">
        <v>0</v>
      </c>
    </row>
    <row r="2" spans="1:10" x14ac:dyDescent="0.35">
      <c r="C2" t="s">
        <v>7</v>
      </c>
      <c r="D2" t="s">
        <v>11</v>
      </c>
      <c r="E2" t="s">
        <v>8</v>
      </c>
      <c r="F2" t="s">
        <v>11</v>
      </c>
      <c r="G2" t="s">
        <v>9</v>
      </c>
      <c r="H2" t="s">
        <v>11</v>
      </c>
      <c r="I2" t="s">
        <v>10</v>
      </c>
      <c r="J2" t="s">
        <v>11</v>
      </c>
    </row>
    <row r="3" spans="1:10" x14ac:dyDescent="0.35">
      <c r="B3" t="s">
        <v>1</v>
      </c>
      <c r="C3" s="1">
        <f>ABS(-860398805552.274)</f>
        <v>860398805552.27405</v>
      </c>
      <c r="D3" s="1">
        <v>680101819555.02698</v>
      </c>
      <c r="E3" s="1">
        <f>ABS(-617862269114.89)</f>
        <v>617862269114.89001</v>
      </c>
      <c r="F3" s="1">
        <v>811043515422.00098</v>
      </c>
      <c r="G3" s="1">
        <f>C3-E3</f>
        <v>242536536437.38403</v>
      </c>
      <c r="H3" s="1">
        <f>SQRT(D3^2+F3^2)</f>
        <v>1058456455821.4646</v>
      </c>
      <c r="I3" s="2">
        <f>C3/E3</f>
        <v>1.3925414264004603</v>
      </c>
      <c r="J3" s="2">
        <f>SQRT((D3/C3)^2+(F3/E3)^2)*I3</f>
        <v>2.1337663480313149</v>
      </c>
    </row>
    <row r="4" spans="1:10" x14ac:dyDescent="0.35">
      <c r="B4" t="s">
        <v>2</v>
      </c>
      <c r="C4" s="1">
        <f>ABS(14773630207582.3)</f>
        <v>14773630207582.301</v>
      </c>
      <c r="D4" s="1">
        <v>2641594511466.8301</v>
      </c>
      <c r="E4" s="1">
        <f>ABS(17579192857053.2)</f>
        <v>17579192857053.199</v>
      </c>
      <c r="F4" s="1">
        <v>3399818036589.5</v>
      </c>
      <c r="G4" s="1">
        <f t="shared" ref="G4:G8" si="0">C4-E4</f>
        <v>-2805562649470.8984</v>
      </c>
      <c r="H4" s="1">
        <f t="shared" ref="H4:H8" si="1">SQRT(D4^2+F4^2)</f>
        <v>4305436591674.6426</v>
      </c>
      <c r="I4" s="2">
        <f t="shared" ref="I4:I8" si="2">C4/E4</f>
        <v>0.84040435347148268</v>
      </c>
      <c r="J4" s="2">
        <f t="shared" ref="J4:J8" si="3">SQRT((D4/C4)^2+(F4/E4)^2)*I4</f>
        <v>0.22135479751560341</v>
      </c>
    </row>
    <row r="5" spans="1:10" x14ac:dyDescent="0.35">
      <c r="B5" t="s">
        <v>3</v>
      </c>
      <c r="C5" s="1">
        <f>ABS(-65261941492.465)</f>
        <v>65261941492.464996</v>
      </c>
      <c r="D5" s="1">
        <v>220863232801.23499</v>
      </c>
      <c r="E5" s="1">
        <f>ABS(203256854270.352)</f>
        <v>203256854270.35199</v>
      </c>
      <c r="F5" s="1">
        <v>397753270422.67902</v>
      </c>
      <c r="G5" s="1">
        <f t="shared" si="0"/>
        <v>-137994912777.88699</v>
      </c>
      <c r="H5" s="1">
        <f t="shared" si="1"/>
        <v>454959593519.41284</v>
      </c>
      <c r="I5" s="2">
        <f t="shared" si="2"/>
        <v>0.32108113513190595</v>
      </c>
      <c r="J5" s="2">
        <f t="shared" si="3"/>
        <v>1.2552037338081803</v>
      </c>
    </row>
    <row r="6" spans="1:10" x14ac:dyDescent="0.35">
      <c r="B6" t="s">
        <v>4</v>
      </c>
      <c r="C6" s="1">
        <f>ABS(1752244566600.82)</f>
        <v>1752244566600.8201</v>
      </c>
      <c r="D6" s="1">
        <v>157971510062.52399</v>
      </c>
      <c r="E6" s="1">
        <f>ABS(997220942094.404)</f>
        <v>997220942094.40405</v>
      </c>
      <c r="F6" s="1">
        <v>384208101525.65302</v>
      </c>
      <c r="G6" s="1">
        <f t="shared" si="0"/>
        <v>755023624506.41602</v>
      </c>
      <c r="H6" s="1">
        <f t="shared" si="1"/>
        <v>415416493737.76746</v>
      </c>
      <c r="I6" s="2">
        <f t="shared" si="2"/>
        <v>1.7571277262997351</v>
      </c>
      <c r="J6" s="2">
        <f t="shared" si="3"/>
        <v>0.69527097852506559</v>
      </c>
    </row>
    <row r="7" spans="1:10" x14ac:dyDescent="0.35">
      <c r="B7" t="s">
        <v>5</v>
      </c>
      <c r="C7" s="1">
        <f>ABS(13913231402030)</f>
        <v>13913231402030</v>
      </c>
      <c r="D7" s="1">
        <f>SQRT(D3^2+D4^2)</f>
        <v>2727738999239.7988</v>
      </c>
      <c r="E7" s="1">
        <f>ABS(16961330587938.3)</f>
        <v>16961330587938.301</v>
      </c>
      <c r="F7" s="1">
        <f>SQRT(F3^2+F4^2)</f>
        <v>3495218772241.2114</v>
      </c>
      <c r="G7" s="1">
        <f t="shared" si="0"/>
        <v>-3048099185908.3008</v>
      </c>
      <c r="H7" s="1">
        <f t="shared" si="1"/>
        <v>4433634436193.5273</v>
      </c>
      <c r="I7" s="2">
        <f t="shared" si="2"/>
        <v>0.82029126959674414</v>
      </c>
      <c r="J7" s="2">
        <f t="shared" si="3"/>
        <v>0.23331741759481686</v>
      </c>
    </row>
    <row r="8" spans="1:10" x14ac:dyDescent="0.35">
      <c r="B8" t="s">
        <v>6</v>
      </c>
      <c r="C8" s="1">
        <f>ABS(12226248776921.6)</f>
        <v>12226248776921.6</v>
      </c>
      <c r="D8" s="1">
        <f>SQRT(D3^2+D4^2+D5^2+D6^2)</f>
        <v>2741221554994.8872</v>
      </c>
      <c r="E8" s="1">
        <f>ABS(15760852791573.5)</f>
        <v>15760852791573.5</v>
      </c>
      <c r="F8" s="1">
        <f>SQRT(F3^2+F4^2+F5^2+F6^2)</f>
        <v>3538697188971.8457</v>
      </c>
      <c r="G8" s="1">
        <f t="shared" si="0"/>
        <v>-3534604014651.9004</v>
      </c>
      <c r="H8" s="1">
        <f t="shared" si="1"/>
        <v>4476234288864.4502</v>
      </c>
      <c r="I8" s="2">
        <f t="shared" si="2"/>
        <v>0.77573523073943895</v>
      </c>
      <c r="J8" s="2">
        <f t="shared" si="3"/>
        <v>0.24614217212892331</v>
      </c>
    </row>
    <row r="10" spans="1:10" x14ac:dyDescent="0.35">
      <c r="A10" t="s">
        <v>12</v>
      </c>
    </row>
    <row r="11" spans="1:10" x14ac:dyDescent="0.35">
      <c r="C11" t="s">
        <v>7</v>
      </c>
      <c r="D11" t="s">
        <v>11</v>
      </c>
      <c r="E11" t="s">
        <v>8</v>
      </c>
      <c r="F11" t="s">
        <v>11</v>
      </c>
      <c r="G11" t="s">
        <v>9</v>
      </c>
      <c r="H11" t="s">
        <v>11</v>
      </c>
      <c r="I11" t="s">
        <v>10</v>
      </c>
      <c r="J11" t="s">
        <v>11</v>
      </c>
    </row>
    <row r="12" spans="1:10" x14ac:dyDescent="0.35">
      <c r="B12" t="s">
        <v>1</v>
      </c>
      <c r="C12" s="1">
        <v>7838564624452.2803</v>
      </c>
      <c r="D12" s="1">
        <v>4335955803354.48</v>
      </c>
      <c r="E12" s="1">
        <v>8954907837974.6895</v>
      </c>
      <c r="F12" s="1">
        <v>4433050340521.8398</v>
      </c>
      <c r="G12" s="1">
        <f>C12-E12</f>
        <v>-1116343213522.4092</v>
      </c>
      <c r="H12" s="1">
        <f>SQRT(D12^2+F12^2)</f>
        <v>6201003793761.4736</v>
      </c>
      <c r="I12" s="2">
        <f>C12/E12</f>
        <v>0.8753372749646422</v>
      </c>
      <c r="J12" s="2">
        <f>SQRT((D12/C12)^2+(F12/E12)^2)*I12</f>
        <v>0.64978599271954518</v>
      </c>
    </row>
    <row r="13" spans="1:10" x14ac:dyDescent="0.35">
      <c r="B13" t="s">
        <v>2</v>
      </c>
      <c r="C13" s="1">
        <v>19469138896969.602</v>
      </c>
      <c r="D13" s="1">
        <v>4467902146717.7695</v>
      </c>
      <c r="E13" s="1">
        <v>25464793451526.102</v>
      </c>
      <c r="F13" s="1">
        <v>4827968947016.3398</v>
      </c>
      <c r="G13" s="1">
        <f t="shared" ref="G13:G17" si="4">C13-E13</f>
        <v>-5995654554556.5</v>
      </c>
      <c r="H13" s="1">
        <f t="shared" ref="H13:H17" si="5">SQRT(D13^2+F13^2)</f>
        <v>6578102594669.6299</v>
      </c>
      <c r="I13" s="2">
        <f t="shared" ref="I13:I17" si="6">C13/E13</f>
        <v>0.7645512198648059</v>
      </c>
      <c r="J13" s="2">
        <f t="shared" ref="J13:J17" si="7">SQRT((D13/C13)^2+(F13/E13)^2)*I13</f>
        <v>0.22758705262047518</v>
      </c>
    </row>
    <row r="14" spans="1:10" x14ac:dyDescent="0.35">
      <c r="B14" t="s">
        <v>3</v>
      </c>
      <c r="C14" s="1">
        <v>1082860567546.91</v>
      </c>
      <c r="D14" s="1">
        <v>1193967056188.52</v>
      </c>
      <c r="E14" s="1">
        <v>2384119239757.6699</v>
      </c>
      <c r="F14" s="1">
        <v>1387325762943.8201</v>
      </c>
      <c r="G14" s="1">
        <f t="shared" si="4"/>
        <v>-1301258672210.7598</v>
      </c>
      <c r="H14" s="1">
        <f t="shared" si="5"/>
        <v>1830363380258.4482</v>
      </c>
      <c r="I14" s="2">
        <f t="shared" si="6"/>
        <v>0.45419731928214113</v>
      </c>
      <c r="J14" s="2">
        <f t="shared" si="7"/>
        <v>0.56626363821307346</v>
      </c>
    </row>
    <row r="15" spans="1:10" x14ac:dyDescent="0.35">
      <c r="B15" t="s">
        <v>4</v>
      </c>
      <c r="C15" s="1">
        <v>2726726492674.4702</v>
      </c>
      <c r="D15" s="1">
        <v>334399518308.62299</v>
      </c>
      <c r="E15" s="1">
        <v>2225694812042.0298</v>
      </c>
      <c r="F15" s="1">
        <v>203149656552.98599</v>
      </c>
      <c r="G15" s="1">
        <f t="shared" si="4"/>
        <v>501031680632.44043</v>
      </c>
      <c r="H15" s="1">
        <f t="shared" si="5"/>
        <v>391270776831.89587</v>
      </c>
      <c r="I15" s="2">
        <f t="shared" si="6"/>
        <v>1.2251124807954932</v>
      </c>
      <c r="J15" s="2">
        <f t="shared" si="7"/>
        <v>0.18729034438598219</v>
      </c>
    </row>
    <row r="16" spans="1:10" x14ac:dyDescent="0.35">
      <c r="B16" t="s">
        <v>5</v>
      </c>
      <c r="C16" s="1">
        <v>11630574272517.301</v>
      </c>
      <c r="D16" s="1">
        <f>SQRT(D12^2+D13^2)</f>
        <v>6225966778042.4795</v>
      </c>
      <c r="E16" s="1">
        <v>16509885613551.4</v>
      </c>
      <c r="F16" s="1">
        <f>SQRT(F12^2+F13^2)</f>
        <v>6554480869981.6084</v>
      </c>
      <c r="G16" s="1">
        <f t="shared" si="4"/>
        <v>-4879311341034.0996</v>
      </c>
      <c r="H16" s="1">
        <f t="shared" si="5"/>
        <v>9040126204663.4902</v>
      </c>
      <c r="I16" s="2">
        <f t="shared" si="6"/>
        <v>0.70446122673138722</v>
      </c>
      <c r="J16" s="2">
        <f t="shared" si="7"/>
        <v>0.46949520027898889</v>
      </c>
    </row>
    <row r="17" spans="1:10" x14ac:dyDescent="0.35">
      <c r="B17" t="s">
        <v>6</v>
      </c>
      <c r="C17" s="1">
        <v>9986708347389.7598</v>
      </c>
      <c r="D17" s="1">
        <f>SQRT(D12^2+D13^2+D14^2+D15^2)</f>
        <v>6348231461627.4951</v>
      </c>
      <c r="E17" s="1">
        <v>16668310041267.053</v>
      </c>
      <c r="F17" s="1">
        <f>SQRT(F12^2+F13^2+F14^2+F15^2)</f>
        <v>6702772712127.4307</v>
      </c>
      <c r="G17" s="1">
        <f t="shared" si="4"/>
        <v>-6681601693877.293</v>
      </c>
      <c r="H17" s="1">
        <f t="shared" si="5"/>
        <v>9231858140203.2637</v>
      </c>
      <c r="I17" s="2">
        <f t="shared" si="6"/>
        <v>0.5991434238183041</v>
      </c>
      <c r="J17" s="2">
        <f t="shared" si="7"/>
        <v>0.45066569788736049</v>
      </c>
    </row>
    <row r="19" spans="1:10" x14ac:dyDescent="0.35">
      <c r="A19" t="s">
        <v>13</v>
      </c>
    </row>
    <row r="20" spans="1:10" x14ac:dyDescent="0.35">
      <c r="C20" t="s">
        <v>7</v>
      </c>
      <c r="D20" t="s">
        <v>11</v>
      </c>
      <c r="E20" t="s">
        <v>8</v>
      </c>
      <c r="F20" t="s">
        <v>11</v>
      </c>
      <c r="G20" t="s">
        <v>9</v>
      </c>
      <c r="H20" t="s">
        <v>11</v>
      </c>
      <c r="I20" t="s">
        <v>10</v>
      </c>
      <c r="J20" t="s">
        <v>11</v>
      </c>
    </row>
    <row r="21" spans="1:10" x14ac:dyDescent="0.35">
      <c r="B21" t="s">
        <v>1</v>
      </c>
      <c r="C21" s="1">
        <v>786986413806.94604</v>
      </c>
      <c r="D21" s="1">
        <v>936360589577.48096</v>
      </c>
      <c r="E21" s="1">
        <v>2503425021019.48</v>
      </c>
      <c r="F21" s="1">
        <v>2843033337236.3101</v>
      </c>
      <c r="G21" s="1">
        <f>C21-E21</f>
        <v>-1716438607212.5339</v>
      </c>
      <c r="H21" s="1">
        <f>SQRT(D21^2+F21^2)</f>
        <v>2993260715398.9976</v>
      </c>
      <c r="I21" s="2">
        <f>C21/E21</f>
        <v>0.31436388435810164</v>
      </c>
      <c r="J21" s="2">
        <f>SQRT((D21/C21)^2+(F21/E21)^2)*I21</f>
        <v>0.51706451876032489</v>
      </c>
    </row>
    <row r="22" spans="1:10" x14ac:dyDescent="0.35">
      <c r="B22" t="s">
        <v>2</v>
      </c>
      <c r="C22" s="1">
        <v>7055527902647.29</v>
      </c>
      <c r="D22" s="1">
        <v>2919792794135.9399</v>
      </c>
      <c r="E22" s="1">
        <v>10321583566871.9</v>
      </c>
      <c r="F22" s="1">
        <v>6017398278015.0898</v>
      </c>
      <c r="G22" s="1">
        <f t="shared" ref="G22:G26" si="8">C22-E22</f>
        <v>-3266055664224.6104</v>
      </c>
      <c r="H22" s="1">
        <f t="shared" ref="H22:H26" si="9">SQRT(D22^2+F22^2)</f>
        <v>6688368410677.3848</v>
      </c>
      <c r="I22" s="2">
        <f t="shared" ref="I22:I26" si="10">C22/E22</f>
        <v>0.68357029296286231</v>
      </c>
      <c r="J22" s="2">
        <f t="shared" ref="J22:J26" si="11">SQRT((D22/C22)^2+(F22/E22)^2)*I22</f>
        <v>0.48870978601572296</v>
      </c>
    </row>
    <row r="23" spans="1:10" x14ac:dyDescent="0.35">
      <c r="B23" t="s">
        <v>3</v>
      </c>
      <c r="C23" s="1">
        <v>51654280753.2799</v>
      </c>
      <c r="D23" s="1">
        <v>349023109881.80701</v>
      </c>
      <c r="E23" s="1">
        <v>19095602637.918499</v>
      </c>
      <c r="F23" s="1">
        <v>1293457162621.6699</v>
      </c>
      <c r="G23" s="1">
        <f t="shared" si="8"/>
        <v>32558678115.361401</v>
      </c>
      <c r="H23" s="1">
        <f t="shared" si="9"/>
        <v>1339719583632.6604</v>
      </c>
      <c r="I23" s="2">
        <f t="shared" si="10"/>
        <v>2.7050353808006573</v>
      </c>
      <c r="J23" s="2">
        <f t="shared" si="11"/>
        <v>184.13728767938321</v>
      </c>
    </row>
    <row r="24" spans="1:10" x14ac:dyDescent="0.35">
      <c r="B24" t="s">
        <v>4</v>
      </c>
      <c r="C24" s="1">
        <v>2518291002151.6602</v>
      </c>
      <c r="D24" s="1">
        <v>197696244825.40201</v>
      </c>
      <c r="E24" s="1">
        <v>2229406111437.29</v>
      </c>
      <c r="F24" s="1">
        <v>320508923366.13</v>
      </c>
      <c r="G24" s="1">
        <f t="shared" si="8"/>
        <v>288884890714.37012</v>
      </c>
      <c r="H24" s="1">
        <f t="shared" si="9"/>
        <v>376576386906.27045</v>
      </c>
      <c r="I24" s="2">
        <f t="shared" si="10"/>
        <v>1.1295793033096726</v>
      </c>
      <c r="J24" s="2">
        <f t="shared" si="11"/>
        <v>0.18502723238847663</v>
      </c>
    </row>
    <row r="25" spans="1:10" x14ac:dyDescent="0.35">
      <c r="B25" t="s">
        <v>5</v>
      </c>
      <c r="C25" s="1">
        <v>6268541488840.3398</v>
      </c>
      <c r="D25" s="1">
        <f>SQRT(D21^2+D22^2)</f>
        <v>3066261749166.5723</v>
      </c>
      <c r="E25" s="1">
        <v>7818158545852.3701</v>
      </c>
      <c r="F25" s="1">
        <f>SQRT(F21^2+F22^2)</f>
        <v>6655217546624.3027</v>
      </c>
      <c r="G25" s="1">
        <f t="shared" si="8"/>
        <v>-1549617057012.0303</v>
      </c>
      <c r="H25" s="1">
        <f t="shared" si="9"/>
        <v>7327610914022.2539</v>
      </c>
      <c r="I25" s="2">
        <f t="shared" si="10"/>
        <v>0.80179257712366026</v>
      </c>
      <c r="J25" s="2">
        <f t="shared" si="11"/>
        <v>0.78718605726701374</v>
      </c>
    </row>
    <row r="26" spans="1:10" x14ac:dyDescent="0.35">
      <c r="B26" t="s">
        <v>6</v>
      </c>
      <c r="C26" s="1">
        <v>3801904767441.96</v>
      </c>
      <c r="D26" s="1">
        <f>SQRT(D21^2+D22^2+D23^2+D24^2)</f>
        <v>3092387758812.2222</v>
      </c>
      <c r="E26" s="1">
        <v>5569656831777.1611</v>
      </c>
      <c r="F26" s="1">
        <f>SQRT(F21^2+F22^2+F23^2+F24^2)</f>
        <v>6787317437278.9297</v>
      </c>
      <c r="G26" s="1">
        <f t="shared" si="8"/>
        <v>-1767752064335.2012</v>
      </c>
      <c r="H26" s="1">
        <f t="shared" si="9"/>
        <v>7458588341317.833</v>
      </c>
      <c r="I26" s="2">
        <f t="shared" si="10"/>
        <v>0.68261023655004105</v>
      </c>
      <c r="J26" s="2">
        <f t="shared" si="11"/>
        <v>1.000118132961654</v>
      </c>
    </row>
    <row r="28" spans="1:10" x14ac:dyDescent="0.35">
      <c r="A28" t="s">
        <v>14</v>
      </c>
    </row>
    <row r="29" spans="1:10" x14ac:dyDescent="0.35">
      <c r="C29" t="s">
        <v>7</v>
      </c>
      <c r="D29" t="s">
        <v>11</v>
      </c>
      <c r="E29" t="s">
        <v>8</v>
      </c>
      <c r="F29" t="s">
        <v>11</v>
      </c>
      <c r="G29" t="s">
        <v>9</v>
      </c>
      <c r="H29" t="s">
        <v>11</v>
      </c>
      <c r="I29" t="s">
        <v>10</v>
      </c>
      <c r="J29" t="s">
        <v>11</v>
      </c>
    </row>
    <row r="30" spans="1:10" x14ac:dyDescent="0.35">
      <c r="B30" t="s">
        <v>1</v>
      </c>
      <c r="C30" s="1">
        <v>89147357722.354996</v>
      </c>
      <c r="D30" s="1">
        <v>88123974735.376602</v>
      </c>
      <c r="E30" s="1">
        <v>105255148970.22</v>
      </c>
      <c r="F30" s="1">
        <v>232850949800.11401</v>
      </c>
      <c r="G30" s="1">
        <f>C30-E30</f>
        <v>-16107791247.865005</v>
      </c>
      <c r="H30" s="1">
        <f>SQRT(D30^2+F30^2)</f>
        <v>248968672217.96503</v>
      </c>
      <c r="I30" s="2">
        <f>C30/E30</f>
        <v>0.84696433946027283</v>
      </c>
      <c r="J30" s="2">
        <f>SQRT((D30/C30)^2+(F30/E30)^2)*I30</f>
        <v>2.0522476995751129</v>
      </c>
    </row>
    <row r="31" spans="1:10" x14ac:dyDescent="0.35">
      <c r="B31" t="s">
        <v>2</v>
      </c>
      <c r="C31" s="1">
        <v>1234097821842.77</v>
      </c>
      <c r="D31" s="1">
        <v>495166488573.09698</v>
      </c>
      <c r="E31" s="1">
        <v>1014497191509.01</v>
      </c>
      <c r="F31" s="1">
        <v>418455714419.10797</v>
      </c>
      <c r="G31" s="1">
        <f t="shared" ref="G31:G35" si="12">C31-E31</f>
        <v>219600630333.76001</v>
      </c>
      <c r="H31" s="1">
        <f t="shared" ref="H31:H35" si="13">SQRT(D31^2+F31^2)</f>
        <v>648301655354.83325</v>
      </c>
      <c r="I31" s="2">
        <f t="shared" ref="I31:I35" si="14">C31/E31</f>
        <v>1.2164625315592208</v>
      </c>
      <c r="J31" s="2">
        <f t="shared" ref="J31:J35" si="15">SQRT((D31/C31)^2+(F31/E31)^2)*I31</f>
        <v>0.69999789203916185</v>
      </c>
    </row>
    <row r="32" spans="1:10" x14ac:dyDescent="0.35">
      <c r="B32" t="s">
        <v>3</v>
      </c>
      <c r="C32" s="1">
        <v>18276167714.470001</v>
      </c>
      <c r="D32" s="1">
        <v>12050605911.3976</v>
      </c>
      <c r="E32" s="1">
        <v>17176302092.898899</v>
      </c>
      <c r="F32" s="1">
        <v>8430314034.7273998</v>
      </c>
      <c r="G32" s="1">
        <f t="shared" si="12"/>
        <v>1099865621.5711021</v>
      </c>
      <c r="H32" s="1">
        <f t="shared" si="13"/>
        <v>14706709270.123367</v>
      </c>
      <c r="I32" s="2">
        <f t="shared" si="14"/>
        <v>1.0640339006395221</v>
      </c>
      <c r="J32" s="2">
        <f t="shared" si="15"/>
        <v>0.87461588435291526</v>
      </c>
    </row>
    <row r="33" spans="1:10" x14ac:dyDescent="0.35">
      <c r="B33" t="s">
        <v>4</v>
      </c>
      <c r="C33" s="1">
        <v>1322974445717.3601</v>
      </c>
      <c r="D33" s="1">
        <v>160504194599.10599</v>
      </c>
      <c r="E33" s="1">
        <v>1359648119156.9099</v>
      </c>
      <c r="F33" s="1">
        <v>114441330376.991</v>
      </c>
      <c r="G33" s="1">
        <f t="shared" si="12"/>
        <v>-36673673439.549805</v>
      </c>
      <c r="H33" s="1">
        <f t="shared" si="13"/>
        <v>197125377824.2753</v>
      </c>
      <c r="I33" s="2">
        <f t="shared" si="14"/>
        <v>0.97302708478551758</v>
      </c>
      <c r="J33" s="2">
        <f t="shared" si="15"/>
        <v>0.14367650712272037</v>
      </c>
    </row>
    <row r="34" spans="1:10" x14ac:dyDescent="0.35">
      <c r="B34" t="s">
        <v>5</v>
      </c>
      <c r="C34" s="1">
        <v>1144950464120.4099</v>
      </c>
      <c r="D34" s="1">
        <f>SQRT(D30^2+D31^2)</f>
        <v>502947001511.06604</v>
      </c>
      <c r="E34" s="1">
        <v>909242042538.79297</v>
      </c>
      <c r="F34" s="1">
        <f>SQRT(F30^2+F31^2)</f>
        <v>478878637812.15094</v>
      </c>
      <c r="G34" s="1">
        <f t="shared" si="12"/>
        <v>235708421581.61694</v>
      </c>
      <c r="H34" s="1">
        <f t="shared" si="13"/>
        <v>694464135921.93042</v>
      </c>
      <c r="I34" s="2">
        <f t="shared" si="14"/>
        <v>1.2592361665585436</v>
      </c>
      <c r="J34" s="2">
        <f t="shared" si="15"/>
        <v>0.86361238431227494</v>
      </c>
    </row>
    <row r="35" spans="1:10" x14ac:dyDescent="0.35">
      <c r="B35" t="s">
        <v>6</v>
      </c>
      <c r="C35" s="1">
        <f>159747813882.48</f>
        <v>159747813882.48001</v>
      </c>
      <c r="D35" s="1">
        <f>SQRT(D30^2+D31^2+D32^2+D33^2)</f>
        <v>528074331809.17987</v>
      </c>
      <c r="E35" s="1">
        <v>433229774525.21802</v>
      </c>
      <c r="F35" s="1">
        <f>SQRT(F30^2+F31^2+F32^2+F33^2)</f>
        <v>492435415101.31152</v>
      </c>
      <c r="G35" s="1">
        <f t="shared" si="12"/>
        <v>-273481960642.73801</v>
      </c>
      <c r="H35" s="1">
        <f t="shared" si="13"/>
        <v>722049262835.79346</v>
      </c>
      <c r="I35" s="2">
        <f t="shared" si="14"/>
        <v>0.36873692270470021</v>
      </c>
      <c r="J35" s="2">
        <f t="shared" si="15"/>
        <v>1.2889707779274302</v>
      </c>
    </row>
    <row r="37" spans="1:10" x14ac:dyDescent="0.35">
      <c r="A37" t="s">
        <v>15</v>
      </c>
    </row>
    <row r="38" spans="1:10" x14ac:dyDescent="0.35">
      <c r="C38" t="s">
        <v>7</v>
      </c>
      <c r="D38" t="s">
        <v>11</v>
      </c>
      <c r="E38" t="s">
        <v>8</v>
      </c>
      <c r="F38" t="s">
        <v>11</v>
      </c>
      <c r="G38" t="s">
        <v>9</v>
      </c>
      <c r="H38" t="s">
        <v>11</v>
      </c>
      <c r="I38" t="s">
        <v>10</v>
      </c>
      <c r="J38" t="s">
        <v>11</v>
      </c>
    </row>
    <row r="39" spans="1:10" x14ac:dyDescent="0.35">
      <c r="B39" t="s">
        <v>1</v>
      </c>
      <c r="C39" s="1">
        <v>2323290174057.4502</v>
      </c>
      <c r="D39" s="1">
        <v>1973265274694.1299</v>
      </c>
      <c r="E39" s="1">
        <v>134306641358.532</v>
      </c>
      <c r="F39" s="1">
        <v>5168210363575.4697</v>
      </c>
      <c r="G39" s="1">
        <f>C39-E39</f>
        <v>2188983532698.9182</v>
      </c>
      <c r="H39" s="1">
        <f>SQRT(D39^2+F39^2)</f>
        <v>5532103958394.3643</v>
      </c>
      <c r="I39" s="2">
        <f>C39/E39</f>
        <v>17.298401259662356</v>
      </c>
      <c r="J39" s="2">
        <f>SQRT((D39/C39)^2+(F39/E39)^2)*I39</f>
        <v>665.81629876520367</v>
      </c>
    </row>
    <row r="40" spans="1:10" x14ac:dyDescent="0.35">
      <c r="B40" t="s">
        <v>2</v>
      </c>
      <c r="C40" s="1">
        <v>3872642538927.9502</v>
      </c>
      <c r="D40" s="1">
        <v>3126387403288.79</v>
      </c>
      <c r="E40" s="1">
        <v>5273597644083.1104</v>
      </c>
      <c r="F40" s="1">
        <v>6294781183921.9902</v>
      </c>
      <c r="G40" s="1">
        <f t="shared" ref="G40:G44" si="16">C40-E40</f>
        <v>-1400955105155.1602</v>
      </c>
      <c r="H40" s="1">
        <f t="shared" ref="H40:H44" si="17">SQRT(D40^2+F40^2)</f>
        <v>7028411509644.3486</v>
      </c>
      <c r="I40" s="2">
        <f t="shared" ref="I40:I44" si="18">C40/E40</f>
        <v>0.73434546969524517</v>
      </c>
      <c r="J40" s="2">
        <f t="shared" ref="J40:J44" si="19">SQRT((D40/C40)^2+(F40/E40)^2)*I40</f>
        <v>1.0581999441413532</v>
      </c>
    </row>
    <row r="41" spans="1:10" x14ac:dyDescent="0.35">
      <c r="B41" t="s">
        <v>3</v>
      </c>
      <c r="C41" s="1">
        <v>681093894914.48901</v>
      </c>
      <c r="D41" s="1">
        <v>374918562193.245</v>
      </c>
      <c r="E41" s="1">
        <v>688731381681.85498</v>
      </c>
      <c r="F41" s="1">
        <v>1279577790146.23</v>
      </c>
      <c r="G41" s="1">
        <f t="shared" si="16"/>
        <v>-7637486767.3659668</v>
      </c>
      <c r="H41" s="1">
        <f t="shared" si="17"/>
        <v>1333372884572.2637</v>
      </c>
      <c r="I41" s="2">
        <f t="shared" si="18"/>
        <v>0.98891079022896344</v>
      </c>
      <c r="J41" s="2">
        <f t="shared" si="19"/>
        <v>1.9162215072831792</v>
      </c>
    </row>
    <row r="42" spans="1:10" x14ac:dyDescent="0.35">
      <c r="B42" t="s">
        <v>4</v>
      </c>
      <c r="C42" s="1">
        <v>1786248385098.3401</v>
      </c>
      <c r="D42" s="1">
        <v>368691891880.98102</v>
      </c>
      <c r="E42" s="1">
        <v>1990391891343.3</v>
      </c>
      <c r="F42" s="1">
        <v>671454457661.83496</v>
      </c>
      <c r="G42" s="1">
        <f t="shared" si="16"/>
        <v>-204143506244.95996</v>
      </c>
      <c r="H42" s="1">
        <f t="shared" si="17"/>
        <v>766018798628.81042</v>
      </c>
      <c r="I42" s="2">
        <f t="shared" si="18"/>
        <v>0.89743552155089157</v>
      </c>
      <c r="J42" s="2">
        <f t="shared" si="19"/>
        <v>0.35492060886862903</v>
      </c>
    </row>
    <row r="43" spans="1:10" x14ac:dyDescent="0.35">
      <c r="B43" t="s">
        <v>5</v>
      </c>
      <c r="C43" s="1">
        <v>6195932712985.4004</v>
      </c>
      <c r="D43" s="1">
        <f>SQRT(D39^2+D40^2)</f>
        <v>3697035845073.2559</v>
      </c>
      <c r="E43" s="1">
        <v>5139291002724.5801</v>
      </c>
      <c r="F43" s="1">
        <f>SQRT(F39^2+F40^2)</f>
        <v>8144609782894.8945</v>
      </c>
      <c r="G43" s="1">
        <f t="shared" si="16"/>
        <v>1056641710260.8203</v>
      </c>
      <c r="H43" s="1">
        <f t="shared" si="17"/>
        <v>8944425222191.9629</v>
      </c>
      <c r="I43" s="2">
        <f t="shared" si="18"/>
        <v>1.2056006771557877</v>
      </c>
      <c r="J43" s="2">
        <f t="shared" si="19"/>
        <v>2.0415421240833038</v>
      </c>
    </row>
    <row r="44" spans="1:10" x14ac:dyDescent="0.35">
      <c r="B44" t="s">
        <v>6</v>
      </c>
      <c r="C44" s="1">
        <v>3728590432972.5713</v>
      </c>
      <c r="D44" s="1">
        <f>SQRT(D39^2+D40^2+D41^2+D42^2)</f>
        <v>3734243119987.2822</v>
      </c>
      <c r="E44" s="1">
        <v>2460167729699.4248</v>
      </c>
      <c r="F44" s="1">
        <f>SQRT(F39^2+F40^2+F41^2+F42^2)</f>
        <v>8271809894175.3174</v>
      </c>
      <c r="G44" s="1">
        <f t="shared" si="16"/>
        <v>1268422703273.1465</v>
      </c>
      <c r="H44" s="1">
        <f t="shared" si="17"/>
        <v>9075649321373.5957</v>
      </c>
      <c r="I44" s="2">
        <f t="shared" si="18"/>
        <v>1.5155838311187499</v>
      </c>
      <c r="J44" s="2">
        <f t="shared" si="19"/>
        <v>5.3170998158423872</v>
      </c>
    </row>
    <row r="46" spans="1:10" x14ac:dyDescent="0.35">
      <c r="A46" t="s">
        <v>16</v>
      </c>
    </row>
    <row r="47" spans="1:10" x14ac:dyDescent="0.35">
      <c r="C47" t="s">
        <v>7</v>
      </c>
      <c r="D47" t="s">
        <v>11</v>
      </c>
      <c r="E47" t="s">
        <v>8</v>
      </c>
      <c r="F47" t="s">
        <v>11</v>
      </c>
      <c r="G47" t="s">
        <v>9</v>
      </c>
      <c r="H47" t="s">
        <v>11</v>
      </c>
      <c r="I47" t="s">
        <v>10</v>
      </c>
      <c r="J47" t="s">
        <v>11</v>
      </c>
    </row>
    <row r="48" spans="1:10" x14ac:dyDescent="0.35">
      <c r="B48" t="s">
        <v>1</v>
      </c>
      <c r="C48" s="1">
        <v>971060830296.95605</v>
      </c>
      <c r="D48" s="1">
        <v>608911488770.38794</v>
      </c>
      <c r="E48" s="1">
        <v>26072485818.651001</v>
      </c>
      <c r="F48" s="1">
        <v>1588081247623.6599</v>
      </c>
      <c r="G48" s="1">
        <f>C48-E48</f>
        <v>944988344478.30505</v>
      </c>
      <c r="H48" s="1">
        <f>SQRT(D48^2+F48^2)</f>
        <v>1700816054195.894</v>
      </c>
      <c r="I48" s="2">
        <f>C48/E48</f>
        <v>37.24465848984395</v>
      </c>
      <c r="J48" s="2">
        <f>SQRT((D48/C48)^2+(F48/E48)^2)*I48</f>
        <v>2268.7011264646821</v>
      </c>
    </row>
    <row r="49" spans="1:10" x14ac:dyDescent="0.35">
      <c r="B49" t="s">
        <v>2</v>
      </c>
      <c r="C49" s="1">
        <v>7227758421277.6602</v>
      </c>
      <c r="D49" s="1">
        <v>3390897080968.5601</v>
      </c>
      <c r="E49" s="1">
        <v>6831535514911.4004</v>
      </c>
      <c r="F49" s="1">
        <v>5558818651489.7598</v>
      </c>
      <c r="G49" s="1">
        <f t="shared" ref="G49:G53" si="20">C49-E49</f>
        <v>396222906366.25977</v>
      </c>
      <c r="H49" s="1">
        <f t="shared" ref="H49:H53" si="21">SQRT(D49^2+F49^2)</f>
        <v>6511424407445.082</v>
      </c>
      <c r="I49" s="2">
        <f t="shared" ref="I49:I53" si="22">C49/E49</f>
        <v>1.0579990992510266</v>
      </c>
      <c r="J49" s="2">
        <f t="shared" ref="J49:J53" si="23">SQRT((D49/C49)^2+(F49/E49)^2)*I49</f>
        <v>0.9937356066385552</v>
      </c>
    </row>
    <row r="50" spans="1:10" x14ac:dyDescent="0.35">
      <c r="B50" t="s">
        <v>3</v>
      </c>
      <c r="C50" s="1">
        <v>177575970206.20999</v>
      </c>
      <c r="D50" s="1">
        <v>320080098778.30902</v>
      </c>
      <c r="E50" s="1">
        <v>97029441931.669205</v>
      </c>
      <c r="F50" s="1">
        <v>612836413396.79102</v>
      </c>
      <c r="G50" s="1">
        <f t="shared" si="20"/>
        <v>80546528274.540787</v>
      </c>
      <c r="H50" s="1">
        <f t="shared" si="21"/>
        <v>691389715875.91223</v>
      </c>
      <c r="I50" s="2">
        <f t="shared" si="22"/>
        <v>1.8301246165186011</v>
      </c>
      <c r="J50" s="2">
        <f t="shared" si="23"/>
        <v>12.020540686444917</v>
      </c>
    </row>
    <row r="51" spans="1:10" x14ac:dyDescent="0.35">
      <c r="B51" t="s">
        <v>4</v>
      </c>
      <c r="C51" s="1">
        <v>5289630950368.9199</v>
      </c>
      <c r="D51" s="1">
        <v>456350699459.11401</v>
      </c>
      <c r="E51" s="1">
        <v>4151256708160.9902</v>
      </c>
      <c r="F51" s="1">
        <v>210186367950.83801</v>
      </c>
      <c r="G51" s="1">
        <f t="shared" si="20"/>
        <v>1138374242207.9297</v>
      </c>
      <c r="H51" s="1">
        <f t="shared" si="21"/>
        <v>502428373172.92072</v>
      </c>
      <c r="I51" s="2">
        <f t="shared" si="22"/>
        <v>1.2742240054608018</v>
      </c>
      <c r="J51" s="2">
        <f t="shared" si="23"/>
        <v>0.12746428523141926</v>
      </c>
    </row>
    <row r="52" spans="1:10" x14ac:dyDescent="0.35">
      <c r="B52" t="s">
        <v>5</v>
      </c>
      <c r="C52" s="1">
        <v>6256697590980.7002</v>
      </c>
      <c r="D52" s="1">
        <f>SQRT(D48^2+D49^2)</f>
        <v>3445135151902.9951</v>
      </c>
      <c r="E52" s="1">
        <v>6805463029092.75</v>
      </c>
      <c r="F52" s="1">
        <f>SQRT(F48^2+F49^2)</f>
        <v>5781216727403.0088</v>
      </c>
      <c r="G52" s="1">
        <f t="shared" si="20"/>
        <v>-548765438112.0498</v>
      </c>
      <c r="H52" s="1">
        <f t="shared" si="21"/>
        <v>6729890271325.5313</v>
      </c>
      <c r="I52" s="2">
        <f t="shared" si="22"/>
        <v>0.9193639821763594</v>
      </c>
      <c r="J52" s="2">
        <f t="shared" si="23"/>
        <v>0.93071214321660722</v>
      </c>
    </row>
    <row r="53" spans="1:10" x14ac:dyDescent="0.35">
      <c r="B53" t="s">
        <v>6</v>
      </c>
      <c r="C53" s="1">
        <v>1144642610817.9902</v>
      </c>
      <c r="D53" s="1">
        <f>SQRT(D48^2+D49^2+D50^2+D51^2)</f>
        <v>3489937455801.8125</v>
      </c>
      <c r="E53" s="1">
        <v>2751235762863.4287</v>
      </c>
      <c r="F53" s="1">
        <f>SQRT(F48^2+F49^2+F50^2+F51^2)</f>
        <v>5817406091039.3525</v>
      </c>
      <c r="G53" s="1">
        <f t="shared" si="20"/>
        <v>-1606593152045.4385</v>
      </c>
      <c r="H53" s="1">
        <f t="shared" si="21"/>
        <v>6783942590667.332</v>
      </c>
      <c r="I53" s="2">
        <f t="shared" si="22"/>
        <v>0.41604671844868363</v>
      </c>
      <c r="J53" s="2">
        <f t="shared" si="23"/>
        <v>1.5436942689039463</v>
      </c>
    </row>
    <row r="55" spans="1:10" x14ac:dyDescent="0.35">
      <c r="A55" t="s">
        <v>17</v>
      </c>
    </row>
    <row r="56" spans="1:10" x14ac:dyDescent="0.35">
      <c r="C56" t="s">
        <v>7</v>
      </c>
      <c r="D56" t="s">
        <v>11</v>
      </c>
      <c r="E56" t="s">
        <v>8</v>
      </c>
      <c r="F56" t="s">
        <v>11</v>
      </c>
      <c r="G56" t="s">
        <v>9</v>
      </c>
      <c r="H56" t="s">
        <v>11</v>
      </c>
      <c r="I56" t="s">
        <v>10</v>
      </c>
      <c r="J56" t="s">
        <v>11</v>
      </c>
    </row>
    <row r="57" spans="1:10" x14ac:dyDescent="0.35">
      <c r="B57" t="s">
        <v>1</v>
      </c>
      <c r="C57" s="1">
        <v>1311609748477.98</v>
      </c>
      <c r="D57" s="1">
        <v>3447178214124.8101</v>
      </c>
      <c r="E57" s="1">
        <v>490356817986.784</v>
      </c>
      <c r="F57" s="1">
        <v>3866466048607.1299</v>
      </c>
      <c r="G57" s="1">
        <f>C57-E57</f>
        <v>821252930491.19604</v>
      </c>
      <c r="H57" s="1">
        <f>SQRT(D57^2+F57^2)</f>
        <v>5180019048707.0938</v>
      </c>
      <c r="I57" s="2">
        <f>C57/E57</f>
        <v>2.6748067944949634</v>
      </c>
      <c r="J57" s="2">
        <f>SQRT((D57/C57)^2+(F57/E57)^2)*I57</f>
        <v>22.231613479681986</v>
      </c>
    </row>
    <row r="58" spans="1:10" x14ac:dyDescent="0.35">
      <c r="B58" t="s">
        <v>2</v>
      </c>
      <c r="C58" s="1">
        <v>3702858680321.73</v>
      </c>
      <c r="D58" s="1">
        <v>1955167365232.95</v>
      </c>
      <c r="E58" s="1">
        <v>7207253364154.1602</v>
      </c>
      <c r="F58" s="1">
        <v>2221798543414</v>
      </c>
      <c r="G58" s="1">
        <f t="shared" ref="G58:G62" si="24">C58-E58</f>
        <v>-3504394683832.4302</v>
      </c>
      <c r="H58" s="1">
        <f t="shared" ref="H58:H62" si="25">SQRT(D58^2+F58^2)</f>
        <v>2959572299098.0518</v>
      </c>
      <c r="I58" s="2">
        <f t="shared" ref="I58:I62" si="26">C58/E58</f>
        <v>0.51376835158011624</v>
      </c>
      <c r="J58" s="2">
        <f t="shared" ref="J58:J62" si="27">SQRT((D58/C58)^2+(F58/E58)^2)*I58</f>
        <v>0.3141274468747498</v>
      </c>
    </row>
    <row r="59" spans="1:10" x14ac:dyDescent="0.35">
      <c r="B59" t="s">
        <v>3</v>
      </c>
      <c r="C59" s="1">
        <v>11671551308.2012</v>
      </c>
      <c r="D59" s="1">
        <v>626686121825.60303</v>
      </c>
      <c r="E59" s="1">
        <v>179918039330.00201</v>
      </c>
      <c r="F59" s="1">
        <v>1096457482565</v>
      </c>
      <c r="G59" s="1">
        <f t="shared" si="24"/>
        <v>-168246488021.80081</v>
      </c>
      <c r="H59" s="1">
        <f t="shared" si="25"/>
        <v>1262915082799.1531</v>
      </c>
      <c r="I59" s="2">
        <f t="shared" si="26"/>
        <v>6.4871490105522317E-2</v>
      </c>
      <c r="J59" s="2">
        <f t="shared" si="27"/>
        <v>3.5055393328472926</v>
      </c>
    </row>
    <row r="60" spans="1:10" x14ac:dyDescent="0.35">
      <c r="B60" t="s">
        <v>4</v>
      </c>
      <c r="C60" s="1">
        <v>1295244417849.4199</v>
      </c>
      <c r="D60" s="1">
        <v>333278225490.172</v>
      </c>
      <c r="E60" s="1">
        <v>1160336284774.1001</v>
      </c>
      <c r="F60" s="1">
        <v>304717318856.65601</v>
      </c>
      <c r="G60" s="1">
        <f t="shared" si="24"/>
        <v>134908133075.31982</v>
      </c>
      <c r="H60" s="1">
        <f t="shared" si="25"/>
        <v>451582794177.39874</v>
      </c>
      <c r="I60" s="2">
        <f t="shared" si="26"/>
        <v>1.1162664090105434</v>
      </c>
      <c r="J60" s="2">
        <f t="shared" si="27"/>
        <v>0.41040463501947488</v>
      </c>
    </row>
    <row r="61" spans="1:10" x14ac:dyDescent="0.35">
      <c r="B61" t="s">
        <v>5</v>
      </c>
      <c r="C61" s="1">
        <v>5014468428799.71</v>
      </c>
      <c r="D61" s="1">
        <f>SQRT(D57^2+D58^2)</f>
        <v>3963043914216.5293</v>
      </c>
      <c r="E61" s="1">
        <v>7697610182140.9502</v>
      </c>
      <c r="F61" s="1">
        <f>SQRT(F57^2+F58^2)</f>
        <v>4459366375680.3164</v>
      </c>
      <c r="G61" s="1">
        <f t="shared" si="24"/>
        <v>-2683141753341.2402</v>
      </c>
      <c r="H61" s="1">
        <f t="shared" si="25"/>
        <v>5965875085731.9219</v>
      </c>
      <c r="I61" s="2">
        <f t="shared" si="26"/>
        <v>0.65143184834608325</v>
      </c>
      <c r="J61" s="2">
        <f t="shared" si="27"/>
        <v>0.63834281572563256</v>
      </c>
    </row>
    <row r="62" spans="1:10" x14ac:dyDescent="0.35">
      <c r="B62" t="s">
        <v>6</v>
      </c>
      <c r="C62" s="1">
        <v>3707552459642.0889</v>
      </c>
      <c r="D62" s="1">
        <f>SQRT(D57^2+D58^2+D59^2+D60^2)</f>
        <v>4026105678802.2046</v>
      </c>
      <c r="E62" s="1">
        <v>6357355858036.8477</v>
      </c>
      <c r="F62" s="1">
        <f>SQRT(F57^2+F58^2+F59^2+F60^2)</f>
        <v>4602284229383.5098</v>
      </c>
      <c r="G62" s="1">
        <f t="shared" si="24"/>
        <v>-2649803398394.7588</v>
      </c>
      <c r="H62" s="1">
        <f t="shared" si="25"/>
        <v>6114781031640.9141</v>
      </c>
      <c r="I62" s="2">
        <f t="shared" si="26"/>
        <v>0.5831909590140486</v>
      </c>
      <c r="J62" s="2">
        <f t="shared" si="27"/>
        <v>0.76112517594212525</v>
      </c>
    </row>
  </sheetData>
  <pageMargins left="0.7" right="0.7" top="0.75" bottom="0.75" header="0.3" footer="0.3"/>
  <ignoredErrors>
    <ignoredError sqref="E7:E8 D6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Donegan, Ciara E</dc:creator>
  <cp:lastModifiedBy>Donegan, Ciara E</cp:lastModifiedBy>
  <dcterms:created xsi:type="dcterms:W3CDTF">2024-06-03T12:55:15Z</dcterms:created>
  <dcterms:modified xsi:type="dcterms:W3CDTF">2024-06-07T13:43:55Z</dcterms:modified>
</cp:coreProperties>
</file>