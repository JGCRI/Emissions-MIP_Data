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ciara_donegan_pnnl_gov/Documents/Desktop/difference_plot_files/output/tables/"/>
    </mc:Choice>
  </mc:AlternateContent>
  <xr:revisionPtr revIDLastSave="40" documentId="8_{71145DED-2677-4372-B4C9-7997851F09B5}" xr6:coauthVersionLast="47" xr6:coauthVersionMax="47" xr10:uidLastSave="{6630DBC1-8A72-4837-8082-49F91CE2B274}"/>
  <bookViews>
    <workbookView xWindow="8835" yWindow="-11025" windowWidth="16860" windowHeight="8235" xr2:uid="{04EFE850-DFBB-4953-969C-80936A233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G37" i="1"/>
  <c r="I37" i="1"/>
  <c r="I31" i="1"/>
  <c r="I25" i="1"/>
  <c r="I19" i="1"/>
  <c r="I13" i="1"/>
  <c r="F43" i="1"/>
  <c r="D43" i="1"/>
  <c r="I42" i="1"/>
  <c r="G42" i="1"/>
  <c r="F42" i="1"/>
  <c r="D42" i="1"/>
  <c r="I41" i="1"/>
  <c r="J41" i="1" s="1"/>
  <c r="H41" i="1"/>
  <c r="G41" i="1"/>
  <c r="I40" i="1"/>
  <c r="J40" i="1" s="1"/>
  <c r="H40" i="1"/>
  <c r="G40" i="1"/>
  <c r="I39" i="1"/>
  <c r="J39" i="1" s="1"/>
  <c r="H39" i="1"/>
  <c r="G39" i="1"/>
  <c r="I38" i="1"/>
  <c r="J38" i="1" s="1"/>
  <c r="H38" i="1"/>
  <c r="G38" i="1"/>
  <c r="F37" i="1"/>
  <c r="D37" i="1"/>
  <c r="I36" i="1"/>
  <c r="G36" i="1"/>
  <c r="F36" i="1"/>
  <c r="D36" i="1"/>
  <c r="I35" i="1"/>
  <c r="J35" i="1" s="1"/>
  <c r="H35" i="1"/>
  <c r="G35" i="1"/>
  <c r="I34" i="1"/>
  <c r="J34" i="1" s="1"/>
  <c r="H34" i="1"/>
  <c r="G34" i="1"/>
  <c r="I33" i="1"/>
  <c r="J33" i="1" s="1"/>
  <c r="H33" i="1"/>
  <c r="G33" i="1"/>
  <c r="I32" i="1"/>
  <c r="J32" i="1" s="1"/>
  <c r="H32" i="1"/>
  <c r="G32" i="1"/>
  <c r="F31" i="1"/>
  <c r="D31" i="1"/>
  <c r="I30" i="1"/>
  <c r="G30" i="1"/>
  <c r="F30" i="1"/>
  <c r="D30" i="1"/>
  <c r="I29" i="1"/>
  <c r="J29" i="1" s="1"/>
  <c r="H29" i="1"/>
  <c r="G29" i="1"/>
  <c r="I28" i="1"/>
  <c r="J28" i="1" s="1"/>
  <c r="H28" i="1"/>
  <c r="G28" i="1"/>
  <c r="I27" i="1"/>
  <c r="J27" i="1" s="1"/>
  <c r="H27" i="1"/>
  <c r="G27" i="1"/>
  <c r="I26" i="1"/>
  <c r="J26" i="1" s="1"/>
  <c r="H26" i="1"/>
  <c r="G26" i="1"/>
  <c r="F25" i="1"/>
  <c r="D25" i="1"/>
  <c r="I24" i="1"/>
  <c r="G24" i="1"/>
  <c r="F24" i="1"/>
  <c r="D24" i="1"/>
  <c r="I23" i="1"/>
  <c r="J23" i="1" s="1"/>
  <c r="H23" i="1"/>
  <c r="G23" i="1"/>
  <c r="I22" i="1"/>
  <c r="J22" i="1" s="1"/>
  <c r="H22" i="1"/>
  <c r="G22" i="1"/>
  <c r="I21" i="1"/>
  <c r="J21" i="1" s="1"/>
  <c r="H21" i="1"/>
  <c r="G21" i="1"/>
  <c r="I20" i="1"/>
  <c r="J20" i="1" s="1"/>
  <c r="H20" i="1"/>
  <c r="G20" i="1"/>
  <c r="F19" i="1"/>
  <c r="D19" i="1"/>
  <c r="I18" i="1"/>
  <c r="G18" i="1"/>
  <c r="F18" i="1"/>
  <c r="D18" i="1"/>
  <c r="I17" i="1"/>
  <c r="J17" i="1" s="1"/>
  <c r="H17" i="1"/>
  <c r="G17" i="1"/>
  <c r="I16" i="1"/>
  <c r="J16" i="1" s="1"/>
  <c r="H16" i="1"/>
  <c r="G16" i="1"/>
  <c r="I15" i="1"/>
  <c r="J15" i="1" s="1"/>
  <c r="H15" i="1"/>
  <c r="G15" i="1"/>
  <c r="I14" i="1"/>
  <c r="J14" i="1" s="1"/>
  <c r="H14" i="1"/>
  <c r="G14" i="1"/>
  <c r="I12" i="1"/>
  <c r="G12" i="1"/>
  <c r="I11" i="1"/>
  <c r="J11" i="1" s="1"/>
  <c r="H11" i="1"/>
  <c r="G11" i="1"/>
  <c r="I10" i="1"/>
  <c r="J10" i="1" s="1"/>
  <c r="H10" i="1"/>
  <c r="G10" i="1"/>
  <c r="I9" i="1"/>
  <c r="J9" i="1" s="1"/>
  <c r="H9" i="1"/>
  <c r="G9" i="1"/>
  <c r="I8" i="1"/>
  <c r="J8" i="1" s="1"/>
  <c r="H8" i="1"/>
  <c r="G8" i="1"/>
  <c r="F13" i="1"/>
  <c r="F12" i="1"/>
  <c r="D13" i="1"/>
  <c r="D12" i="1"/>
  <c r="I7" i="1"/>
  <c r="I6" i="1"/>
  <c r="I5" i="1"/>
  <c r="J5" i="1" s="1"/>
  <c r="I4" i="1"/>
  <c r="J4" i="1" s="1"/>
  <c r="I3" i="1"/>
  <c r="J3" i="1" s="1"/>
  <c r="I2" i="1"/>
  <c r="J2" i="1" s="1"/>
  <c r="G7" i="1"/>
  <c r="G6" i="1"/>
  <c r="H5" i="1"/>
  <c r="G5" i="1"/>
  <c r="H4" i="1"/>
  <c r="G4" i="1"/>
  <c r="H3" i="1"/>
  <c r="G3" i="1"/>
  <c r="H2" i="1"/>
  <c r="G2" i="1"/>
  <c r="F6" i="1"/>
  <c r="F7" i="1"/>
  <c r="D7" i="1"/>
  <c r="D6" i="1"/>
  <c r="H6" i="1" l="1"/>
  <c r="H12" i="1"/>
  <c r="J7" i="1"/>
  <c r="J6" i="1"/>
  <c r="H13" i="1"/>
  <c r="J25" i="1"/>
  <c r="H7" i="1"/>
  <c r="J18" i="1"/>
  <c r="G43" i="1"/>
  <c r="J42" i="1"/>
  <c r="J43" i="1"/>
  <c r="H36" i="1"/>
  <c r="J37" i="1"/>
  <c r="H31" i="1"/>
  <c r="G31" i="1"/>
  <c r="J30" i="1"/>
  <c r="H25" i="1"/>
  <c r="G25" i="1"/>
  <c r="J24" i="1"/>
  <c r="H19" i="1"/>
  <c r="J19" i="1"/>
  <c r="G19" i="1"/>
  <c r="G13" i="1"/>
  <c r="J12" i="1"/>
  <c r="J13" i="1"/>
  <c r="H42" i="1"/>
  <c r="H43" i="1"/>
  <c r="J36" i="1"/>
  <c r="H37" i="1"/>
  <c r="J31" i="1"/>
  <c r="H30" i="1"/>
  <c r="H24" i="1"/>
  <c r="H18" i="1"/>
</calcChain>
</file>

<file path=xl/sharedStrings.xml><?xml version="1.0" encoding="utf-8"?>
<sst xmlns="http://schemas.openxmlformats.org/spreadsheetml/2006/main" count="137" uniqueCount="25">
  <si>
    <t>NH-atlantic</t>
  </si>
  <si>
    <t>NH-pacific</t>
  </si>
  <si>
    <t>difference</t>
  </si>
  <si>
    <t>ratio</t>
  </si>
  <si>
    <t>rlut</t>
  </si>
  <si>
    <t>rsut</t>
  </si>
  <si>
    <t>rlutcs</t>
  </si>
  <si>
    <t>rsutcs</t>
  </si>
  <si>
    <t>net_rad</t>
  </si>
  <si>
    <t>ICR</t>
  </si>
  <si>
    <t>model</t>
  </si>
  <si>
    <t>variable</t>
  </si>
  <si>
    <t>CAM5ATRAS</t>
  </si>
  <si>
    <t>scenario</t>
  </si>
  <si>
    <t>shp-atl-shift</t>
  </si>
  <si>
    <t>CESM1</t>
  </si>
  <si>
    <t>E3SM</t>
  </si>
  <si>
    <t>GEOS</t>
  </si>
  <si>
    <t>GFDL</t>
  </si>
  <si>
    <t>GISS</t>
  </si>
  <si>
    <t>NorESM2</t>
  </si>
  <si>
    <t>NH-atlantic.sd</t>
  </si>
  <si>
    <t>NH-pacific.sd</t>
  </si>
  <si>
    <t>diff.sd</t>
  </si>
  <si>
    <t>ratio.sd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</si>
</sst>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BE43-BE17-48FC-8817-DE601E0EB568}">
  <dimension ref="A1:K43"/>
  <sheetViews>
    <sheetView tabSelected="1" workbookViewId="0">
      <selection activeCell="C4" sqref="C4"/>
    </sheetView>
  </sheetViews>
  <sheetFormatPr defaultRowHeight="14.5" x14ac:dyDescent="0.35"/>
  <cols>
    <col min="3" max="6" width="13.90625" bestFit="1" customWidth="1"/>
    <col min="7" max="7" width="14.54296875" bestFit="1" customWidth="1"/>
    <col min="8" max="8" width="11.81640625" customWidth="1"/>
    <col min="9" max="10" width="13.453125" bestFit="1" customWidth="1"/>
  </cols>
  <sheetData>
    <row r="1" spans="1:11" x14ac:dyDescent="0.35">
      <c r="A1" t="s">
        <v>10</v>
      </c>
      <c r="B1" t="s">
        <v>11</v>
      </c>
      <c r="C1" t="s">
        <v>0</v>
      </c>
      <c r="D1" t="s">
        <v>21</v>
      </c>
      <c r="E1" t="s">
        <v>1</v>
      </c>
      <c r="F1" t="s">
        <v>22</v>
      </c>
      <c r="G1" t="s">
        <v>2</v>
      </c>
      <c r="H1" t="s">
        <v>23</v>
      </c>
      <c r="I1" t="s">
        <v>3</v>
      </c>
      <c r="J1" t="s">
        <v>24</v>
      </c>
      <c r="K1" t="s">
        <v>13</v>
      </c>
    </row>
    <row r="2" spans="1:11" x14ac:dyDescent="0.35">
      <c r="A2" t="s">
        <v>12</v>
      </c>
      <c r="B2" t="s">
        <v>4</v>
      </c>
      <c r="C2" s="1">
        <v>1319526729365.6399</v>
      </c>
      <c r="D2" s="1">
        <v>414547446177.82898</v>
      </c>
      <c r="E2" s="1">
        <v>1498951412487.8501</v>
      </c>
      <c r="F2" s="1">
        <v>1621110785661.0701</v>
      </c>
      <c r="G2" s="1">
        <f>C2-E2</f>
        <v>-179424683122.21021</v>
      </c>
      <c r="H2" s="1">
        <f>SQRT(D2^2+F2^2)</f>
        <v>1673275161029.7727</v>
      </c>
      <c r="I2" s="1">
        <f>C2/E2</f>
        <v>0.88029986720889486</v>
      </c>
      <c r="J2" s="1">
        <f>SQRT((D2/C2)^2+(F2/E2)^2)*I2</f>
        <v>0.99139652701078629</v>
      </c>
      <c r="K2" t="s">
        <v>14</v>
      </c>
    </row>
    <row r="3" spans="1:11" x14ac:dyDescent="0.35">
      <c r="A3" t="s">
        <v>12</v>
      </c>
      <c r="B3" t="s">
        <v>5</v>
      </c>
      <c r="C3" s="1">
        <v>11824013539917.5</v>
      </c>
      <c r="D3" s="1">
        <v>3030484026038.2202</v>
      </c>
      <c r="E3" s="1">
        <v>23613829620980.699</v>
      </c>
      <c r="F3" s="1">
        <v>4471776589661.8096</v>
      </c>
      <c r="G3" s="1">
        <f t="shared" ref="G3:G7" si="0">C3-E3</f>
        <v>-11789816081063.199</v>
      </c>
      <c r="H3" s="1">
        <f t="shared" ref="H3:H7" si="1">SQRT(D3^2+F3^2)</f>
        <v>5401908857054.1641</v>
      </c>
      <c r="I3" s="1">
        <f t="shared" ref="I3:I7" si="2">C3/E3</f>
        <v>0.50072409811121688</v>
      </c>
      <c r="J3" s="1">
        <f t="shared" ref="J3:J7" si="3">SQRT((D3/C3)^2+(F3/E3)^2)*I3</f>
        <v>0.15956580203323392</v>
      </c>
      <c r="K3" t="s">
        <v>14</v>
      </c>
    </row>
    <row r="4" spans="1:11" x14ac:dyDescent="0.35">
      <c r="A4" t="s">
        <v>12</v>
      </c>
      <c r="B4" t="s">
        <v>6</v>
      </c>
      <c r="C4" s="1">
        <v>252711355375.08401</v>
      </c>
      <c r="D4" s="1">
        <v>160936311842.509</v>
      </c>
      <c r="E4" s="1">
        <v>234147148678.57501</v>
      </c>
      <c r="F4" s="1">
        <v>697179276262.13794</v>
      </c>
      <c r="G4" s="1">
        <f t="shared" si="0"/>
        <v>18564206696.509003</v>
      </c>
      <c r="H4" s="1">
        <f t="shared" si="1"/>
        <v>715513409880.53308</v>
      </c>
      <c r="I4" s="1">
        <f t="shared" si="2"/>
        <v>1.079284359434985</v>
      </c>
      <c r="J4" s="1">
        <f t="shared" si="3"/>
        <v>3.2862792116098367</v>
      </c>
      <c r="K4" t="s">
        <v>14</v>
      </c>
    </row>
    <row r="5" spans="1:11" x14ac:dyDescent="0.35">
      <c r="A5" t="s">
        <v>12</v>
      </c>
      <c r="B5" t="s">
        <v>7</v>
      </c>
      <c r="C5" s="1">
        <v>1204946042348.9399</v>
      </c>
      <c r="D5" s="1">
        <v>127524815520.313</v>
      </c>
      <c r="E5" s="1">
        <v>1195532274877.0601</v>
      </c>
      <c r="F5" s="1">
        <v>172604695524.42499</v>
      </c>
      <c r="G5" s="1">
        <f t="shared" si="0"/>
        <v>9413767471.8798828</v>
      </c>
      <c r="H5" s="1">
        <f t="shared" si="1"/>
        <v>214604192621.13525</v>
      </c>
      <c r="I5" s="1">
        <f t="shared" si="2"/>
        <v>1.0078741224053094</v>
      </c>
      <c r="J5" s="1">
        <f t="shared" si="3"/>
        <v>0.18042074855294885</v>
      </c>
      <c r="K5" t="s">
        <v>14</v>
      </c>
    </row>
    <row r="6" spans="1:11" x14ac:dyDescent="0.35">
      <c r="A6" t="s">
        <v>12</v>
      </c>
      <c r="B6" t="s">
        <v>8</v>
      </c>
      <c r="C6" s="1">
        <v>10504486810551.9</v>
      </c>
      <c r="D6" s="1">
        <f>SQRT(D2^2+D3^2)</f>
        <v>3058706101802.751</v>
      </c>
      <c r="E6" s="1">
        <v>22114878208492.898</v>
      </c>
      <c r="F6" s="1">
        <f>SQRT(F2^2+F3^2)</f>
        <v>4756551907341.499</v>
      </c>
      <c r="G6" s="1">
        <f t="shared" si="0"/>
        <v>-11610391397940.998</v>
      </c>
      <c r="H6" s="1">
        <f t="shared" si="1"/>
        <v>5655127678880.4189</v>
      </c>
      <c r="I6" s="1">
        <f t="shared" si="2"/>
        <v>0.47499636722022753</v>
      </c>
      <c r="J6" s="1">
        <f t="shared" si="3"/>
        <v>0.17195089248380166</v>
      </c>
      <c r="K6" t="s">
        <v>14</v>
      </c>
    </row>
    <row r="7" spans="1:11" x14ac:dyDescent="0.35">
      <c r="A7" t="s">
        <v>12</v>
      </c>
      <c r="B7" t="s">
        <v>9</v>
      </c>
      <c r="C7" s="1">
        <v>9552252123578.0391</v>
      </c>
      <c r="D7" s="1">
        <f>SQRT(D2^2+D3^2+D4^2+D5^2)</f>
        <v>3065590659603.519</v>
      </c>
      <c r="E7" s="1">
        <v>21153493082294.414</v>
      </c>
      <c r="F7" s="1">
        <f>SQRT(F2^2+F3^2+F4^2+F5^2)</f>
        <v>4810471637105.9229</v>
      </c>
      <c r="G7" s="1">
        <f t="shared" si="0"/>
        <v>-11601240958716.375</v>
      </c>
      <c r="H7" s="1">
        <f t="shared" si="1"/>
        <v>5704251349971.2539</v>
      </c>
      <c r="I7" s="1">
        <f t="shared" si="2"/>
        <v>0.45156854645313049</v>
      </c>
      <c r="J7" s="1">
        <f t="shared" si="3"/>
        <v>0.17761604098026668</v>
      </c>
      <c r="K7" t="s">
        <v>14</v>
      </c>
    </row>
    <row r="8" spans="1:11" x14ac:dyDescent="0.35">
      <c r="A8" t="s">
        <v>15</v>
      </c>
      <c r="B8" t="s">
        <v>4</v>
      </c>
      <c r="C8" s="1">
        <v>2821825013894.9702</v>
      </c>
      <c r="D8" s="1">
        <v>5786466717147.5098</v>
      </c>
      <c r="E8" s="1">
        <v>6451856498450.6299</v>
      </c>
      <c r="F8" s="1">
        <v>3702982110841.77</v>
      </c>
      <c r="G8" s="1">
        <f>C8-E8</f>
        <v>-3630031484555.6597</v>
      </c>
      <c r="H8" s="1">
        <f>SQRT(D8^2+F8^2)</f>
        <v>6869881627937.2705</v>
      </c>
      <c r="I8" s="1">
        <f>C8/E8</f>
        <v>0.43736636339828894</v>
      </c>
      <c r="J8" s="1">
        <f>SQRT((D8/C8)^2+(F8/E8)^2)*I8</f>
        <v>0.9313352021292739</v>
      </c>
      <c r="K8" t="s">
        <v>14</v>
      </c>
    </row>
    <row r="9" spans="1:11" x14ac:dyDescent="0.35">
      <c r="A9" t="s">
        <v>15</v>
      </c>
      <c r="B9" t="s">
        <v>5</v>
      </c>
      <c r="C9" s="1">
        <v>6604284703067.4004</v>
      </c>
      <c r="D9" s="1">
        <v>6279963083131.1201</v>
      </c>
      <c r="E9" s="1">
        <v>21218457245609.898</v>
      </c>
      <c r="F9" s="1">
        <v>2879037927744.8799</v>
      </c>
      <c r="G9" s="1">
        <f t="shared" ref="G9:G13" si="4">C9-E9</f>
        <v>-14614172542542.498</v>
      </c>
      <c r="H9" s="1">
        <f t="shared" ref="H9:H13" si="5">SQRT(D9^2+F9^2)</f>
        <v>6908458273369.1934</v>
      </c>
      <c r="I9" s="1">
        <f t="shared" ref="I9:I13" si="6">C9/E9</f>
        <v>0.31125187974888363</v>
      </c>
      <c r="J9" s="1">
        <f t="shared" ref="J9:J13" si="7">SQRT((D9/C9)^2+(F9/E9)^2)*I9</f>
        <v>0.29896494378932159</v>
      </c>
      <c r="K9" t="s">
        <v>14</v>
      </c>
    </row>
    <row r="10" spans="1:11" x14ac:dyDescent="0.35">
      <c r="A10" t="s">
        <v>15</v>
      </c>
      <c r="B10" t="s">
        <v>6</v>
      </c>
      <c r="C10" s="1">
        <v>478710866051.49298</v>
      </c>
      <c r="D10" s="1">
        <v>1618928231710.1799</v>
      </c>
      <c r="E10" s="1">
        <v>1896755821971.6599</v>
      </c>
      <c r="F10" s="1">
        <v>1449226924886.3899</v>
      </c>
      <c r="G10" s="1">
        <f t="shared" si="4"/>
        <v>-1418044955920.167</v>
      </c>
      <c r="H10" s="1">
        <f t="shared" si="5"/>
        <v>2172829330445.4246</v>
      </c>
      <c r="I10" s="1">
        <f t="shared" si="6"/>
        <v>0.25238402355548195</v>
      </c>
      <c r="J10" s="1">
        <f t="shared" si="7"/>
        <v>0.87503724214099121</v>
      </c>
      <c r="K10" t="s">
        <v>14</v>
      </c>
    </row>
    <row r="11" spans="1:11" x14ac:dyDescent="0.35">
      <c r="A11" t="s">
        <v>15</v>
      </c>
      <c r="B11" t="s">
        <v>7</v>
      </c>
      <c r="C11" s="1">
        <v>1866845005831.3</v>
      </c>
      <c r="D11" s="1">
        <v>412202370025.36401</v>
      </c>
      <c r="E11" s="1">
        <v>2175996752454.8999</v>
      </c>
      <c r="F11" s="1">
        <v>381638960477.28699</v>
      </c>
      <c r="G11" s="1">
        <f t="shared" si="4"/>
        <v>-309151746623.59985</v>
      </c>
      <c r="H11" s="1">
        <f t="shared" si="5"/>
        <v>561746464171.08081</v>
      </c>
      <c r="I11" s="1">
        <f t="shared" si="6"/>
        <v>0.85792637499351809</v>
      </c>
      <c r="J11" s="1">
        <f t="shared" si="7"/>
        <v>0.24191931308840875</v>
      </c>
      <c r="K11" t="s">
        <v>14</v>
      </c>
    </row>
    <row r="12" spans="1:11" x14ac:dyDescent="0.35">
      <c r="A12" t="s">
        <v>15</v>
      </c>
      <c r="B12" t="s">
        <v>8</v>
      </c>
      <c r="C12" s="1">
        <v>3782459689172.4302</v>
      </c>
      <c r="D12" s="1">
        <f>SQRT(D8^2+D9^2)</f>
        <v>8539387179074.7139</v>
      </c>
      <c r="E12" s="1">
        <v>14766600747159.199</v>
      </c>
      <c r="F12" s="1">
        <f>SQRT(F8^2+F9^2)</f>
        <v>4690515526315.5996</v>
      </c>
      <c r="G12" s="1">
        <f t="shared" si="4"/>
        <v>-10984141057986.77</v>
      </c>
      <c r="H12" s="1">
        <f t="shared" si="5"/>
        <v>9742795763883.8613</v>
      </c>
      <c r="I12" s="1">
        <f t="shared" si="6"/>
        <v>0.25614965515337712</v>
      </c>
      <c r="J12" s="1">
        <f t="shared" si="7"/>
        <v>0.5839864944686336</v>
      </c>
      <c r="K12" t="s">
        <v>14</v>
      </c>
    </row>
    <row r="13" spans="1:11" x14ac:dyDescent="0.35">
      <c r="A13" t="s">
        <v>15</v>
      </c>
      <c r="B13" t="s">
        <v>9</v>
      </c>
      <c r="C13" s="1">
        <v>1436903817289.6399</v>
      </c>
      <c r="D13" s="1">
        <f>SQRT(D8^2+D9^2+D10^2+D11^2)</f>
        <v>8701262713389.8438</v>
      </c>
      <c r="E13" s="1">
        <v>14487359816675.959</v>
      </c>
      <c r="F13" s="1">
        <f>SQRT(F8^2+F9^2+F10^2+F11^2)</f>
        <v>4924108333351.0801</v>
      </c>
      <c r="G13" s="1">
        <f t="shared" si="4"/>
        <v>-13050455999386.318</v>
      </c>
      <c r="H13" s="1">
        <f t="shared" si="5"/>
        <v>9997940572238.1602</v>
      </c>
      <c r="I13" s="1">
        <f t="shared" si="6"/>
        <v>9.9183276695845132E-2</v>
      </c>
      <c r="J13" s="1">
        <f t="shared" si="7"/>
        <v>0.60155600003290421</v>
      </c>
      <c r="K13" t="s">
        <v>14</v>
      </c>
    </row>
    <row r="14" spans="1:11" x14ac:dyDescent="0.35">
      <c r="A14" t="s">
        <v>16</v>
      </c>
      <c r="B14" t="s">
        <v>4</v>
      </c>
      <c r="C14" s="1">
        <v>1760332902552.9099</v>
      </c>
      <c r="D14" s="1">
        <v>1999884808595.99</v>
      </c>
      <c r="E14" s="1">
        <v>4458687837688.5</v>
      </c>
      <c r="F14" s="1">
        <v>3883732840981.0298</v>
      </c>
      <c r="G14" s="1">
        <f>C14-E14</f>
        <v>-2698354935135.5898</v>
      </c>
      <c r="H14" s="1">
        <f>SQRT(D14^2+F14^2)</f>
        <v>4368400167998.3027</v>
      </c>
      <c r="I14" s="1">
        <f>C14/E14</f>
        <v>0.39480963158558158</v>
      </c>
      <c r="J14" s="1">
        <f>SQRT((D14/C14)^2+(F14/E14)^2)*I14</f>
        <v>0.56520009027056251</v>
      </c>
      <c r="K14" t="s">
        <v>14</v>
      </c>
    </row>
    <row r="15" spans="1:11" x14ac:dyDescent="0.35">
      <c r="A15" t="s">
        <v>16</v>
      </c>
      <c r="B15" t="s">
        <v>5</v>
      </c>
      <c r="C15" s="1">
        <v>3886304387849.0801</v>
      </c>
      <c r="D15" s="1">
        <v>2903915992028.8101</v>
      </c>
      <c r="E15" s="1">
        <v>9398958202822.3906</v>
      </c>
      <c r="F15" s="1">
        <v>3347266121392.5801</v>
      </c>
      <c r="G15" s="1">
        <f t="shared" ref="G15:G19" si="8">C15-E15</f>
        <v>-5512653814973.3105</v>
      </c>
      <c r="H15" s="1">
        <f t="shared" ref="H15:H19" si="9">SQRT(D15^2+F15^2)</f>
        <v>4431356290819.2334</v>
      </c>
      <c r="I15" s="1">
        <f t="shared" ref="I15:I19" si="10">C15/E15</f>
        <v>0.41348246305447672</v>
      </c>
      <c r="J15" s="1">
        <f t="shared" ref="J15:J19" si="11">SQRT((D15/C15)^2+(F15/E15)^2)*I15</f>
        <v>0.34225865273451922</v>
      </c>
      <c r="K15" t="s">
        <v>14</v>
      </c>
    </row>
    <row r="16" spans="1:11" x14ac:dyDescent="0.35">
      <c r="A16" t="s">
        <v>16</v>
      </c>
      <c r="B16" t="s">
        <v>6</v>
      </c>
      <c r="C16" s="1">
        <v>514086267513.01801</v>
      </c>
      <c r="D16" s="1">
        <v>607938970022.17004</v>
      </c>
      <c r="E16" s="1">
        <v>939141005607.33606</v>
      </c>
      <c r="F16" s="1">
        <v>1144264193421.24</v>
      </c>
      <c r="G16" s="1">
        <f t="shared" si="8"/>
        <v>-425054738094.31805</v>
      </c>
      <c r="H16" s="1">
        <f t="shared" si="9"/>
        <v>1295735441985.5845</v>
      </c>
      <c r="I16" s="1">
        <f t="shared" si="10"/>
        <v>0.54740051221654618</v>
      </c>
      <c r="J16" s="1">
        <f t="shared" si="11"/>
        <v>0.92945160965785467</v>
      </c>
      <c r="K16" t="s">
        <v>14</v>
      </c>
    </row>
    <row r="17" spans="1:11" x14ac:dyDescent="0.35">
      <c r="A17" t="s">
        <v>16</v>
      </c>
      <c r="B17" t="s">
        <v>7</v>
      </c>
      <c r="C17" s="1">
        <v>1380441352583.79</v>
      </c>
      <c r="D17" s="1">
        <v>243640994500.76001</v>
      </c>
      <c r="E17" s="1">
        <v>1741849972430.21</v>
      </c>
      <c r="F17" s="1">
        <v>243396763219.328</v>
      </c>
      <c r="G17" s="1">
        <f t="shared" si="8"/>
        <v>-361408619846.41992</v>
      </c>
      <c r="H17" s="1">
        <f t="shared" si="9"/>
        <v>344387744478.4657</v>
      </c>
      <c r="I17" s="1">
        <f t="shared" si="10"/>
        <v>0.79251449575637878</v>
      </c>
      <c r="J17" s="1">
        <f t="shared" si="11"/>
        <v>0.17840600015803623</v>
      </c>
      <c r="K17" t="s">
        <v>14</v>
      </c>
    </row>
    <row r="18" spans="1:11" x14ac:dyDescent="0.35">
      <c r="A18" t="s">
        <v>16</v>
      </c>
      <c r="B18" t="s">
        <v>8</v>
      </c>
      <c r="C18" s="1">
        <v>2125971485296.1799</v>
      </c>
      <c r="D18" s="1">
        <f>SQRT(D14^2+D15^2)</f>
        <v>3525942049497.3662</v>
      </c>
      <c r="E18" s="1">
        <v>4940270365133.8799</v>
      </c>
      <c r="F18" s="1">
        <f>SQRT(F14^2+F15^2)</f>
        <v>5127140652209.29</v>
      </c>
      <c r="G18" s="1">
        <f t="shared" si="8"/>
        <v>-2814298879837.7002</v>
      </c>
      <c r="H18" s="1">
        <f t="shared" si="9"/>
        <v>6222526705764.3711</v>
      </c>
      <c r="I18" s="1">
        <f t="shared" si="10"/>
        <v>0.43033504811807333</v>
      </c>
      <c r="J18" s="1">
        <f t="shared" si="11"/>
        <v>0.84193306425976844</v>
      </c>
      <c r="K18" t="s">
        <v>14</v>
      </c>
    </row>
    <row r="19" spans="1:11" x14ac:dyDescent="0.35">
      <c r="A19" t="s">
        <v>16</v>
      </c>
      <c r="B19" t="s">
        <v>9</v>
      </c>
      <c r="C19" s="1">
        <v>1259616400225.4099</v>
      </c>
      <c r="D19" s="1">
        <f>SQRT(D14^2+D15^2+D16^2+D17^2)</f>
        <v>3586254043132.8374</v>
      </c>
      <c r="E19" s="1">
        <v>4137561398311.0059</v>
      </c>
      <c r="F19" s="1">
        <f>SQRT(F14^2+F15^2+F16^2+F17^2)</f>
        <v>5258911845261.2148</v>
      </c>
      <c r="G19" s="1">
        <f t="shared" si="8"/>
        <v>-2877944998085.5957</v>
      </c>
      <c r="H19" s="1">
        <f t="shared" si="9"/>
        <v>6365325746426.1279</v>
      </c>
      <c r="I19" s="1">
        <f t="shared" si="10"/>
        <v>0.30443449147113516</v>
      </c>
      <c r="J19" s="1">
        <f t="shared" si="11"/>
        <v>0.94920429131902961</v>
      </c>
      <c r="K19" t="s">
        <v>14</v>
      </c>
    </row>
    <row r="20" spans="1:11" x14ac:dyDescent="0.35">
      <c r="A20" t="s">
        <v>17</v>
      </c>
      <c r="B20" t="s">
        <v>4</v>
      </c>
      <c r="C20" s="1">
        <v>70315386773.006104</v>
      </c>
      <c r="D20" s="1">
        <v>188925152578.72501</v>
      </c>
      <c r="E20" s="1">
        <v>170743921895.48199</v>
      </c>
      <c r="F20" s="1">
        <v>144550037797.17099</v>
      </c>
      <c r="G20" s="1">
        <f>C20-E20</f>
        <v>-100428535122.47589</v>
      </c>
      <c r="H20" s="1">
        <f>SQRT(D20^2+F20^2)</f>
        <v>237881118847.33115</v>
      </c>
      <c r="I20" s="1">
        <f>C20/E20</f>
        <v>0.41181780289695158</v>
      </c>
      <c r="J20" s="1">
        <f>SQRT((D20/C20)^2+(F20/E20)^2)*I20</f>
        <v>1.1601093647098621</v>
      </c>
      <c r="K20" t="s">
        <v>14</v>
      </c>
    </row>
    <row r="21" spans="1:11" x14ac:dyDescent="0.35">
      <c r="A21" t="s">
        <v>17</v>
      </c>
      <c r="B21" t="s">
        <v>5</v>
      </c>
      <c r="C21" s="1">
        <v>624569053171.52002</v>
      </c>
      <c r="D21" s="1">
        <v>713394184163.24304</v>
      </c>
      <c r="E21" s="1">
        <v>1251336180156.7</v>
      </c>
      <c r="F21" s="1">
        <v>674139663486.18396</v>
      </c>
      <c r="G21" s="1">
        <f t="shared" ref="G21:G25" si="12">C21-E21</f>
        <v>-626767126985.17993</v>
      </c>
      <c r="H21" s="1">
        <f t="shared" ref="H21:H25" si="13">SQRT(D21^2+F21^2)</f>
        <v>981527150864.00159</v>
      </c>
      <c r="I21" s="1">
        <f t="shared" ref="I21:I25" si="14">C21/E21</f>
        <v>0.49912170931820071</v>
      </c>
      <c r="J21" s="1">
        <f t="shared" ref="J21:J25" si="15">SQRT((D21/C21)^2+(F21/E21)^2)*I21</f>
        <v>0.63033734607346137</v>
      </c>
      <c r="K21" t="s">
        <v>14</v>
      </c>
    </row>
    <row r="22" spans="1:11" x14ac:dyDescent="0.35">
      <c r="A22" t="s">
        <v>17</v>
      </c>
      <c r="B22" t="s">
        <v>6</v>
      </c>
      <c r="C22" s="1">
        <v>2920522480.92945</v>
      </c>
      <c r="D22" s="1">
        <v>18227888625.3563</v>
      </c>
      <c r="E22" s="1">
        <v>19642354968.304798</v>
      </c>
      <c r="F22" s="1">
        <v>10318032756.4165</v>
      </c>
      <c r="G22" s="1">
        <f t="shared" si="12"/>
        <v>-16721832487.375347</v>
      </c>
      <c r="H22" s="1">
        <f t="shared" si="13"/>
        <v>20945589600.220795</v>
      </c>
      <c r="I22" s="1">
        <f t="shared" si="14"/>
        <v>0.14868494565147863</v>
      </c>
      <c r="J22" s="1">
        <f t="shared" si="15"/>
        <v>0.93126992254512708</v>
      </c>
      <c r="K22" t="s">
        <v>14</v>
      </c>
    </row>
    <row r="23" spans="1:11" x14ac:dyDescent="0.35">
      <c r="A23" t="s">
        <v>17</v>
      </c>
      <c r="B23" t="s">
        <v>7</v>
      </c>
      <c r="C23" s="1">
        <v>915127060531.65503</v>
      </c>
      <c r="D23" s="1">
        <v>70719583729.982498</v>
      </c>
      <c r="E23" s="1">
        <v>1440812475865</v>
      </c>
      <c r="F23" s="1">
        <v>151046254287.16699</v>
      </c>
      <c r="G23" s="1">
        <f t="shared" si="12"/>
        <v>-525685415333.34497</v>
      </c>
      <c r="H23" s="1">
        <f t="shared" si="13"/>
        <v>166781984809.88742</v>
      </c>
      <c r="I23" s="1">
        <f t="shared" si="14"/>
        <v>0.63514654117792346</v>
      </c>
      <c r="J23" s="1">
        <f t="shared" si="15"/>
        <v>8.2720713175342991E-2</v>
      </c>
      <c r="K23" t="s">
        <v>14</v>
      </c>
    </row>
    <row r="24" spans="1:11" x14ac:dyDescent="0.35">
      <c r="A24" t="s">
        <v>17</v>
      </c>
      <c r="B24" t="s">
        <v>8</v>
      </c>
      <c r="C24" s="1">
        <v>694884439944.526</v>
      </c>
      <c r="D24" s="1">
        <f>SQRT(D20^2+D21^2)</f>
        <v>737986432988.32642</v>
      </c>
      <c r="E24" s="1">
        <v>1080592258261.21</v>
      </c>
      <c r="F24" s="1">
        <f>SQRT(F20^2+F21^2)</f>
        <v>689462833887.67871</v>
      </c>
      <c r="G24" s="1">
        <f t="shared" si="12"/>
        <v>-385707818316.68396</v>
      </c>
      <c r="H24" s="1">
        <f t="shared" si="13"/>
        <v>1009942064965.7397</v>
      </c>
      <c r="I24" s="1">
        <f t="shared" si="14"/>
        <v>0.64305887316152932</v>
      </c>
      <c r="J24" s="1">
        <f t="shared" si="15"/>
        <v>0.7967184562684404</v>
      </c>
      <c r="K24" t="s">
        <v>14</v>
      </c>
    </row>
    <row r="25" spans="1:11" x14ac:dyDescent="0.35">
      <c r="A25" t="s">
        <v>17</v>
      </c>
      <c r="B25" t="s">
        <v>9</v>
      </c>
      <c r="C25" s="1">
        <v>217322098106.19958</v>
      </c>
      <c r="D25" s="1">
        <f>SQRT(D20^2+D21^2+D22^2+D23^2)</f>
        <v>741591188406.06116</v>
      </c>
      <c r="E25" s="1">
        <v>340577862635.48499</v>
      </c>
      <c r="F25" s="1">
        <f>SQRT(F20^2+F21^2+F22^2+F23^2)</f>
        <v>705889815797.46204</v>
      </c>
      <c r="G25" s="1">
        <f t="shared" si="12"/>
        <v>-123255764529.2854</v>
      </c>
      <c r="H25" s="1">
        <f t="shared" si="13"/>
        <v>1023834909918.6299</v>
      </c>
      <c r="I25" s="1">
        <f t="shared" si="14"/>
        <v>0.63809813246375302</v>
      </c>
      <c r="J25" s="1">
        <f t="shared" si="15"/>
        <v>2.547624926678937</v>
      </c>
      <c r="K25" t="s">
        <v>14</v>
      </c>
    </row>
    <row r="26" spans="1:11" x14ac:dyDescent="0.35">
      <c r="A26" t="s">
        <v>18</v>
      </c>
      <c r="B26" t="s">
        <v>4</v>
      </c>
      <c r="C26" s="1">
        <v>645164242543.63306</v>
      </c>
      <c r="D26" s="1">
        <v>3502949478323.6499</v>
      </c>
      <c r="E26" s="1">
        <v>5417673860115.0195</v>
      </c>
      <c r="F26" s="1">
        <v>3728652862789.4502</v>
      </c>
      <c r="G26" s="1">
        <f>C26-E26</f>
        <v>-4772509617571.3867</v>
      </c>
      <c r="H26" s="1">
        <f>SQRT(D26^2+F26^2)</f>
        <v>5116005005751.6455</v>
      </c>
      <c r="I26" s="1">
        <f>C26/E26</f>
        <v>0.1190851016878923</v>
      </c>
      <c r="J26" s="1">
        <f>SQRT((D26/C26)^2+(F26/E26)^2)*I26</f>
        <v>0.65175191811223965</v>
      </c>
      <c r="K26" t="s">
        <v>14</v>
      </c>
    </row>
    <row r="27" spans="1:11" x14ac:dyDescent="0.35">
      <c r="A27" t="s">
        <v>18</v>
      </c>
      <c r="B27" t="s">
        <v>5</v>
      </c>
      <c r="C27" s="1">
        <v>6108913654094.2002</v>
      </c>
      <c r="D27" s="1">
        <v>2261831167708.77</v>
      </c>
      <c r="E27" s="1">
        <v>5273597644083.1104</v>
      </c>
      <c r="F27" s="1">
        <v>6294781183921.9902</v>
      </c>
      <c r="G27" s="1">
        <f t="shared" ref="G27:G31" si="16">C27-E27</f>
        <v>835316010011.08984</v>
      </c>
      <c r="H27" s="1">
        <f t="shared" ref="H27:H31" si="17">SQRT(D27^2+F27^2)</f>
        <v>6688807844801.4297</v>
      </c>
      <c r="I27" s="1">
        <f t="shared" ref="I27:I31" si="18">C27/E27</f>
        <v>1.1583958554267599</v>
      </c>
      <c r="J27" s="1">
        <f t="shared" ref="J27:J31" si="19">SQRT((D27/C27)^2+(F27/E27)^2)*I27</f>
        <v>1.4477001295983998</v>
      </c>
      <c r="K27" t="s">
        <v>14</v>
      </c>
    </row>
    <row r="28" spans="1:11" x14ac:dyDescent="0.35">
      <c r="A28" t="s">
        <v>18</v>
      </c>
      <c r="B28" t="s">
        <v>6</v>
      </c>
      <c r="C28" s="1">
        <v>557799844094.974</v>
      </c>
      <c r="D28" s="1">
        <v>1020036114899.2</v>
      </c>
      <c r="E28" s="1">
        <v>314645770002.25598</v>
      </c>
      <c r="F28" s="1">
        <v>1188284413128.0901</v>
      </c>
      <c r="G28" s="1">
        <f t="shared" si="16"/>
        <v>243154074092.71802</v>
      </c>
      <c r="H28" s="1">
        <f t="shared" si="17"/>
        <v>1566043908127.0435</v>
      </c>
      <c r="I28" s="1">
        <f t="shared" si="18"/>
        <v>1.7727867248651543</v>
      </c>
      <c r="J28" s="1">
        <f t="shared" si="19"/>
        <v>7.4386532917255268</v>
      </c>
      <c r="K28" t="s">
        <v>14</v>
      </c>
    </row>
    <row r="29" spans="1:11" x14ac:dyDescent="0.35">
      <c r="A29" t="s">
        <v>18</v>
      </c>
      <c r="B29" t="s">
        <v>7</v>
      </c>
      <c r="C29" s="1">
        <v>3361635591885.6099</v>
      </c>
      <c r="D29" s="1">
        <v>523858156863.448</v>
      </c>
      <c r="E29" s="1">
        <v>1979375132557.49</v>
      </c>
      <c r="F29" s="1">
        <v>744926935270.22595</v>
      </c>
      <c r="G29" s="1">
        <f t="shared" si="16"/>
        <v>1382260459328.1199</v>
      </c>
      <c r="H29" s="1">
        <f t="shared" si="17"/>
        <v>910682989521.30444</v>
      </c>
      <c r="I29" s="1">
        <f t="shared" si="18"/>
        <v>1.6983317293383107</v>
      </c>
      <c r="J29" s="1">
        <f t="shared" si="19"/>
        <v>0.69178517795123395</v>
      </c>
      <c r="K29" t="s">
        <v>14</v>
      </c>
    </row>
    <row r="30" spans="1:11" x14ac:dyDescent="0.35">
      <c r="A30" t="s">
        <v>18</v>
      </c>
      <c r="B30" t="s">
        <v>8</v>
      </c>
      <c r="C30" s="1">
        <v>5463749411550.5703</v>
      </c>
      <c r="D30" s="1">
        <f>SQRT(D26^2+D27^2)</f>
        <v>4169716450660.2544</v>
      </c>
      <c r="E30" s="1">
        <v>144076216031.90701</v>
      </c>
      <c r="F30" s="1">
        <f>SQRT(F26^2+F27^2)</f>
        <v>7316223228185.8584</v>
      </c>
      <c r="G30" s="1">
        <f t="shared" si="16"/>
        <v>5319673195518.6631</v>
      </c>
      <c r="H30" s="1">
        <f t="shared" si="17"/>
        <v>8421024735954.2324</v>
      </c>
      <c r="I30" s="1">
        <f t="shared" si="18"/>
        <v>37.92263263174938</v>
      </c>
      <c r="J30" s="1">
        <f t="shared" si="19"/>
        <v>1925.9374259919093</v>
      </c>
      <c r="K30" t="s">
        <v>14</v>
      </c>
    </row>
    <row r="31" spans="1:11" x14ac:dyDescent="0.35">
      <c r="A31" t="s">
        <v>18</v>
      </c>
      <c r="B31" t="s">
        <v>9</v>
      </c>
      <c r="C31" s="1">
        <v>2659913663759.9302</v>
      </c>
      <c r="D31" s="1">
        <f>SQRT(D26^2+D27^2+D28^2+D29^2)</f>
        <v>4324515732786.478</v>
      </c>
      <c r="E31" s="1">
        <v>1808805578587.1399</v>
      </c>
      <c r="F31" s="1">
        <f>SQRT(F26^2+F27^2+F28^2+F29^2)</f>
        <v>7449433422081.209</v>
      </c>
      <c r="G31" s="1">
        <f t="shared" si="16"/>
        <v>851108085172.79028</v>
      </c>
      <c r="H31" s="1">
        <f t="shared" si="17"/>
        <v>8613680667005.1514</v>
      </c>
      <c r="I31" s="1">
        <f t="shared" si="18"/>
        <v>1.4705359687344572</v>
      </c>
      <c r="J31" s="1">
        <f t="shared" si="19"/>
        <v>6.5111207108674884</v>
      </c>
      <c r="K31" t="s">
        <v>14</v>
      </c>
    </row>
    <row r="32" spans="1:11" x14ac:dyDescent="0.35">
      <c r="A32" t="s">
        <v>19</v>
      </c>
      <c r="B32" t="s">
        <v>4</v>
      </c>
      <c r="C32" s="1">
        <v>197248571587.25299</v>
      </c>
      <c r="D32" s="1">
        <v>529354099592.37402</v>
      </c>
      <c r="E32" s="1">
        <v>407735125153.50299</v>
      </c>
      <c r="F32" s="1">
        <v>1382380179402.74</v>
      </c>
      <c r="G32" s="1">
        <f>C32-E32</f>
        <v>-210486553566.25</v>
      </c>
      <c r="H32" s="1">
        <f>SQRT(D32^2+F32^2)</f>
        <v>1480267112098.6255</v>
      </c>
      <c r="I32" s="1">
        <f>C32/E32</f>
        <v>0.4837664439947218</v>
      </c>
      <c r="J32" s="1">
        <f>SQRT((D32/C32)^2+(F32/E32)^2)*I32</f>
        <v>2.091803161363782</v>
      </c>
      <c r="K32" t="s">
        <v>14</v>
      </c>
    </row>
    <row r="33" spans="1:11" x14ac:dyDescent="0.35">
      <c r="A33" t="s">
        <v>19</v>
      </c>
      <c r="B33" t="s">
        <v>5</v>
      </c>
      <c r="C33" s="1">
        <v>5984556936071.8398</v>
      </c>
      <c r="D33" s="1">
        <v>1173144683362.6899</v>
      </c>
      <c r="E33" s="1">
        <v>12066860167164.5</v>
      </c>
      <c r="F33" s="1">
        <v>3074166388627.25</v>
      </c>
      <c r="G33" s="1">
        <f t="shared" ref="G33:G37" si="20">C33-E33</f>
        <v>-6082303231092.6602</v>
      </c>
      <c r="H33" s="1">
        <f t="shared" ref="H33:H37" si="21">SQRT(D33^2+F33^2)</f>
        <v>3290405359992.543</v>
      </c>
      <c r="I33" s="1">
        <f t="shared" ref="I33:I37" si="22">C33/E33</f>
        <v>0.49594980410534628</v>
      </c>
      <c r="J33" s="1">
        <f t="shared" ref="J33:J37" si="23">SQRT((D33/C33)^2+(F33/E33)^2)*I33</f>
        <v>0.15942332981719198</v>
      </c>
      <c r="K33" t="s">
        <v>14</v>
      </c>
    </row>
    <row r="34" spans="1:11" x14ac:dyDescent="0.35">
      <c r="A34" t="s">
        <v>19</v>
      </c>
      <c r="B34" t="s">
        <v>6</v>
      </c>
      <c r="C34" s="1">
        <v>52725291885.805901</v>
      </c>
      <c r="D34" s="1">
        <v>220375720437.13699</v>
      </c>
      <c r="E34" s="1">
        <v>70536298712.096405</v>
      </c>
      <c r="F34" s="1">
        <v>342578776960.435</v>
      </c>
      <c r="G34" s="1">
        <f t="shared" si="20"/>
        <v>-17811006826.290504</v>
      </c>
      <c r="H34" s="1">
        <f t="shared" si="21"/>
        <v>407339755710.01489</v>
      </c>
      <c r="I34" s="1">
        <f t="shared" si="22"/>
        <v>0.74749161564333599</v>
      </c>
      <c r="J34" s="1">
        <f t="shared" si="23"/>
        <v>4.7896720428049111</v>
      </c>
      <c r="K34" t="s">
        <v>14</v>
      </c>
    </row>
    <row r="35" spans="1:11" x14ac:dyDescent="0.35">
      <c r="A35" t="s">
        <v>19</v>
      </c>
      <c r="B35" t="s">
        <v>7</v>
      </c>
      <c r="C35" s="1">
        <v>3199526034341.5898</v>
      </c>
      <c r="D35" s="1">
        <v>418440643646.58899</v>
      </c>
      <c r="E35" s="1">
        <v>3838082209391.75</v>
      </c>
      <c r="F35" s="1">
        <v>237850864470.24701</v>
      </c>
      <c r="G35" s="1">
        <f t="shared" si="20"/>
        <v>-638556175050.16016</v>
      </c>
      <c r="H35" s="1">
        <f t="shared" si="21"/>
        <v>481316534086.05804</v>
      </c>
      <c r="I35" s="1">
        <f t="shared" si="22"/>
        <v>0.83362623825836268</v>
      </c>
      <c r="J35" s="1">
        <f t="shared" si="23"/>
        <v>0.12064386199760156</v>
      </c>
      <c r="K35" t="s">
        <v>14</v>
      </c>
    </row>
    <row r="36" spans="1:11" x14ac:dyDescent="0.35">
      <c r="A36" t="s">
        <v>19</v>
      </c>
      <c r="B36" t="s">
        <v>8</v>
      </c>
      <c r="C36" s="1">
        <v>6181805507659.0898</v>
      </c>
      <c r="D36" s="1">
        <f>SQRT(D32^2+D33^2)</f>
        <v>1287044758684.5605</v>
      </c>
      <c r="E36" s="1">
        <v>11659125042011</v>
      </c>
      <c r="F36" s="1">
        <f>SQRT(F32^2+F33^2)</f>
        <v>3370678558594.8506</v>
      </c>
      <c r="G36" s="1">
        <f t="shared" si="20"/>
        <v>-5477319534351.9102</v>
      </c>
      <c r="H36" s="1">
        <f t="shared" si="21"/>
        <v>3608040764213.7939</v>
      </c>
      <c r="I36" s="1">
        <f t="shared" si="22"/>
        <v>0.53021178565152727</v>
      </c>
      <c r="J36" s="1">
        <f t="shared" si="23"/>
        <v>0.18889745207523476</v>
      </c>
      <c r="K36" t="s">
        <v>14</v>
      </c>
    </row>
    <row r="37" spans="1:11" x14ac:dyDescent="0.35">
      <c r="A37" t="s">
        <v>19</v>
      </c>
      <c r="B37" t="s">
        <v>9</v>
      </c>
      <c r="C37" s="1">
        <v>3035004765203.3101</v>
      </c>
      <c r="D37" s="1">
        <f>SQRT(D32^2+D33^2+D34^2+D35^2)</f>
        <v>1371182789153.5679</v>
      </c>
      <c r="E37" s="1">
        <v>7891579131331.3457</v>
      </c>
      <c r="F37" s="1">
        <f>SQRT(F32^2+F33^2+F34^2+F35^2)</f>
        <v>3396381485864.627</v>
      </c>
      <c r="G37" s="1">
        <f t="shared" si="20"/>
        <v>-4856574366128.0352</v>
      </c>
      <c r="H37" s="1">
        <f t="shared" si="21"/>
        <v>3662724319245.8491</v>
      </c>
      <c r="I37" s="1">
        <f t="shared" si="22"/>
        <v>0.38458776306932763</v>
      </c>
      <c r="J37" s="1">
        <f t="shared" si="23"/>
        <v>0.23997196220760852</v>
      </c>
      <c r="K37" t="s">
        <v>14</v>
      </c>
    </row>
    <row r="38" spans="1:11" x14ac:dyDescent="0.35">
      <c r="A38" t="s">
        <v>20</v>
      </c>
      <c r="B38" t="s">
        <v>4</v>
      </c>
      <c r="C38" s="1">
        <v>446564020002.62</v>
      </c>
      <c r="D38" s="1">
        <v>4824176729178.2695</v>
      </c>
      <c r="E38" s="1">
        <v>2840404762044.4902</v>
      </c>
      <c r="F38" s="1">
        <v>2415742536375.6299</v>
      </c>
      <c r="G38" s="1">
        <f>C38-E38</f>
        <v>-2393840742041.8701</v>
      </c>
      <c r="H38" s="1">
        <f>SQRT(D38^2+F38^2)</f>
        <v>5395228736244.6191</v>
      </c>
      <c r="I38" s="1">
        <f>C38/E38</f>
        <v>0.15721844505048232</v>
      </c>
      <c r="J38" s="1">
        <f>SQRT((D38/C38)^2+(F38/E38)^2)*I38</f>
        <v>1.7036670889799184</v>
      </c>
      <c r="K38" t="s">
        <v>14</v>
      </c>
    </row>
    <row r="39" spans="1:11" x14ac:dyDescent="0.35">
      <c r="A39" t="s">
        <v>20</v>
      </c>
      <c r="B39" t="s">
        <v>5</v>
      </c>
      <c r="C39" s="1">
        <v>5255333548037.1699</v>
      </c>
      <c r="D39" s="1">
        <v>1706672867620.6599</v>
      </c>
      <c r="E39" s="1">
        <v>3630153471658.3999</v>
      </c>
      <c r="F39" s="1">
        <v>3435769742846.4199</v>
      </c>
      <c r="G39" s="1">
        <f t="shared" ref="G39:G43" si="24">C39-E39</f>
        <v>1625180076378.77</v>
      </c>
      <c r="H39" s="1">
        <f t="shared" ref="H39:H43" si="25">SQRT(D39^2+F39^2)</f>
        <v>3836306296808.3613</v>
      </c>
      <c r="I39" s="1">
        <f t="shared" ref="I39:I43" si="26">C39/E39</f>
        <v>1.4476890823120827</v>
      </c>
      <c r="J39" s="1">
        <f t="shared" ref="J39:J43" si="27">SQRT((D39/C39)^2+(F39/E39)^2)*I39</f>
        <v>1.4485836970606751</v>
      </c>
      <c r="K39" t="s">
        <v>14</v>
      </c>
    </row>
    <row r="40" spans="1:11" x14ac:dyDescent="0.35">
      <c r="A40" t="s">
        <v>20</v>
      </c>
      <c r="B40" t="s">
        <v>6</v>
      </c>
      <c r="C40" s="1">
        <v>567761906937.56799</v>
      </c>
      <c r="D40" s="1">
        <v>884590898979.31006</v>
      </c>
      <c r="E40" s="1">
        <v>472476425986.94598</v>
      </c>
      <c r="F40" s="1">
        <v>395294615136.96802</v>
      </c>
      <c r="G40" s="1">
        <f t="shared" si="24"/>
        <v>95285480950.622009</v>
      </c>
      <c r="H40" s="1">
        <f t="shared" si="25"/>
        <v>968895707139.47729</v>
      </c>
      <c r="I40" s="1">
        <f t="shared" si="26"/>
        <v>1.2016724554068114</v>
      </c>
      <c r="J40" s="1">
        <f t="shared" si="27"/>
        <v>2.1251044166803834</v>
      </c>
      <c r="K40" t="s">
        <v>14</v>
      </c>
    </row>
    <row r="41" spans="1:11" x14ac:dyDescent="0.35">
      <c r="A41" t="s">
        <v>20</v>
      </c>
      <c r="B41" t="s">
        <v>7</v>
      </c>
      <c r="C41" s="1">
        <v>950017805311.10303</v>
      </c>
      <c r="D41" s="1">
        <v>380627420136.13397</v>
      </c>
      <c r="E41" s="1">
        <v>1243104436053.27</v>
      </c>
      <c r="F41" s="1">
        <v>147338879019.15701</v>
      </c>
      <c r="G41" s="1">
        <f t="shared" si="24"/>
        <v>-293086630742.16699</v>
      </c>
      <c r="H41" s="1">
        <f t="shared" si="25"/>
        <v>408149455751.33484</v>
      </c>
      <c r="I41" s="1">
        <f t="shared" si="26"/>
        <v>0.76423008217017774</v>
      </c>
      <c r="J41" s="1">
        <f t="shared" si="27"/>
        <v>0.31930821847661034</v>
      </c>
      <c r="K41" t="s">
        <v>14</v>
      </c>
    </row>
    <row r="42" spans="1:11" x14ac:dyDescent="0.35">
      <c r="A42" t="s">
        <v>20</v>
      </c>
      <c r="B42" t="s">
        <v>8</v>
      </c>
      <c r="C42" s="1">
        <v>5701897568039.79</v>
      </c>
      <c r="D42" s="1">
        <f>SQRT(D38^2+D39^2)</f>
        <v>5117168493553.6055</v>
      </c>
      <c r="E42" s="1">
        <v>6470558233702.8896</v>
      </c>
      <c r="F42" s="1">
        <f>SQRT(F38^2+F39^2)</f>
        <v>4200038776953.5552</v>
      </c>
      <c r="G42" s="1">
        <f t="shared" si="24"/>
        <v>-768660665663.09961</v>
      </c>
      <c r="H42" s="1">
        <f t="shared" si="25"/>
        <v>6620101141170.8203</v>
      </c>
      <c r="I42" s="1">
        <f t="shared" si="26"/>
        <v>0.88120643723451664</v>
      </c>
      <c r="J42" s="1">
        <f t="shared" si="27"/>
        <v>0.97601215735277902</v>
      </c>
      <c r="K42" t="s">
        <v>14</v>
      </c>
    </row>
    <row r="43" spans="1:11" x14ac:dyDescent="0.35">
      <c r="A43" t="s">
        <v>20</v>
      </c>
      <c r="B43" t="s">
        <v>9</v>
      </c>
      <c r="C43" s="1">
        <v>4184117855791.1201</v>
      </c>
      <c r="D43" s="1">
        <f>SQRT(D38^2+D39^2+D40^2+D41^2)</f>
        <v>5206994496149.7881</v>
      </c>
      <c r="E43" s="1">
        <v>5699930223636.5664</v>
      </c>
      <c r="F43" s="1">
        <f>SQRT(F38^2+F39^2+F40^2+F41^2)</f>
        <v>4221171911441.2314</v>
      </c>
      <c r="G43" s="1">
        <f t="shared" si="24"/>
        <v>-1515812367845.4463</v>
      </c>
      <c r="H43" s="1">
        <f t="shared" si="25"/>
        <v>6703065268134.7666</v>
      </c>
      <c r="I43" s="1">
        <f t="shared" si="26"/>
        <v>0.73406475020349371</v>
      </c>
      <c r="J43" s="1">
        <f t="shared" si="27"/>
        <v>1.0630347943102727</v>
      </c>
      <c r="K4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Donegan, Ciara E</dc:creator>
  <cp:lastModifiedBy>Donegan, Ciara E</cp:lastModifiedBy>
  <dcterms:created xsi:type="dcterms:W3CDTF">2024-06-07T13:13:52Z</dcterms:created>
  <dcterms:modified xsi:type="dcterms:W3CDTF">2024-06-12T15:22:07Z</dcterms:modified>
</cp:coreProperties>
</file>