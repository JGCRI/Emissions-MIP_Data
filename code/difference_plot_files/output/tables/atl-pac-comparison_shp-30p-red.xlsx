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ciara_donegan_pnnl_gov/Documents/Desktop/difference_plot_files/output/tables/"/>
    </mc:Choice>
  </mc:AlternateContent>
  <xr:revisionPtr revIDLastSave="4" documentId="8_{C0890A06-7245-4E4F-B865-E029039E82E3}" xr6:coauthVersionLast="47" xr6:coauthVersionMax="47" xr10:uidLastSave="{8B3E5EB9-7A80-4E57-8656-D6A0F4ED4C74}"/>
  <bookViews>
    <workbookView minimized="1" xWindow="7090" yWindow="440" windowWidth="11530" windowHeight="10930" xr2:uid="{9D7D85B1-4836-499A-A77F-7A3D3141C8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1" l="1"/>
  <c r="D62" i="1"/>
  <c r="H62" i="1" s="1"/>
  <c r="I62" i="1"/>
  <c r="I61" i="1"/>
  <c r="G61" i="1"/>
  <c r="F61" i="1"/>
  <c r="D61" i="1"/>
  <c r="H61" i="1" s="1"/>
  <c r="I60" i="1"/>
  <c r="J60" i="1" s="1"/>
  <c r="H60" i="1"/>
  <c r="G60" i="1"/>
  <c r="I59" i="1"/>
  <c r="J59" i="1" s="1"/>
  <c r="H59" i="1"/>
  <c r="G59" i="1"/>
  <c r="I58" i="1"/>
  <c r="J58" i="1" s="1"/>
  <c r="H58" i="1"/>
  <c r="G58" i="1"/>
  <c r="I57" i="1"/>
  <c r="J57" i="1" s="1"/>
  <c r="H57" i="1"/>
  <c r="G57" i="1"/>
  <c r="F53" i="1"/>
  <c r="I53" i="1"/>
  <c r="D53" i="1"/>
  <c r="G53" i="1"/>
  <c r="I52" i="1"/>
  <c r="G52" i="1"/>
  <c r="F52" i="1"/>
  <c r="D52" i="1"/>
  <c r="J52" i="1" s="1"/>
  <c r="I51" i="1"/>
  <c r="J51" i="1" s="1"/>
  <c r="H51" i="1"/>
  <c r="G51" i="1"/>
  <c r="I50" i="1"/>
  <c r="J50" i="1" s="1"/>
  <c r="H50" i="1"/>
  <c r="G50" i="1"/>
  <c r="I49" i="1"/>
  <c r="J49" i="1" s="1"/>
  <c r="H49" i="1"/>
  <c r="G49" i="1"/>
  <c r="I48" i="1"/>
  <c r="J48" i="1" s="1"/>
  <c r="H48" i="1"/>
  <c r="G48" i="1"/>
  <c r="F44" i="1"/>
  <c r="D44" i="1"/>
  <c r="H44" i="1" s="1"/>
  <c r="I44" i="1"/>
  <c r="I43" i="1"/>
  <c r="G43" i="1"/>
  <c r="F43" i="1"/>
  <c r="D43" i="1"/>
  <c r="I42" i="1"/>
  <c r="J42" i="1" s="1"/>
  <c r="H42" i="1"/>
  <c r="G42" i="1"/>
  <c r="I41" i="1"/>
  <c r="J41" i="1" s="1"/>
  <c r="H41" i="1"/>
  <c r="G41" i="1"/>
  <c r="I40" i="1"/>
  <c r="J40" i="1" s="1"/>
  <c r="H40" i="1"/>
  <c r="G40" i="1"/>
  <c r="I39" i="1"/>
  <c r="J39" i="1" s="1"/>
  <c r="H39" i="1"/>
  <c r="G39" i="1"/>
  <c r="F35" i="1"/>
  <c r="I35" i="1"/>
  <c r="D35" i="1"/>
  <c r="I34" i="1"/>
  <c r="G34" i="1"/>
  <c r="F34" i="1"/>
  <c r="D34" i="1"/>
  <c r="I33" i="1"/>
  <c r="J33" i="1" s="1"/>
  <c r="H33" i="1"/>
  <c r="G33" i="1"/>
  <c r="I32" i="1"/>
  <c r="J32" i="1" s="1"/>
  <c r="H32" i="1"/>
  <c r="G32" i="1"/>
  <c r="I31" i="1"/>
  <c r="J31" i="1" s="1"/>
  <c r="H31" i="1"/>
  <c r="G31" i="1"/>
  <c r="I30" i="1"/>
  <c r="J30" i="1" s="1"/>
  <c r="H30" i="1"/>
  <c r="G30" i="1"/>
  <c r="F26" i="1"/>
  <c r="G26" i="1"/>
  <c r="D26" i="1"/>
  <c r="H26" i="1" s="1"/>
  <c r="I25" i="1"/>
  <c r="G25" i="1"/>
  <c r="F25" i="1"/>
  <c r="D25" i="1"/>
  <c r="I24" i="1"/>
  <c r="J24" i="1" s="1"/>
  <c r="H24" i="1"/>
  <c r="G24" i="1"/>
  <c r="I23" i="1"/>
  <c r="J23" i="1" s="1"/>
  <c r="H23" i="1"/>
  <c r="G23" i="1"/>
  <c r="I22" i="1"/>
  <c r="J22" i="1" s="1"/>
  <c r="H22" i="1"/>
  <c r="G22" i="1"/>
  <c r="I21" i="1"/>
  <c r="J21" i="1" s="1"/>
  <c r="H21" i="1"/>
  <c r="G21" i="1"/>
  <c r="F17" i="1"/>
  <c r="D17" i="1"/>
  <c r="I17" i="1"/>
  <c r="I16" i="1"/>
  <c r="G16" i="1"/>
  <c r="F16" i="1"/>
  <c r="D16" i="1"/>
  <c r="H16" i="1" s="1"/>
  <c r="I15" i="1"/>
  <c r="J15" i="1" s="1"/>
  <c r="H15" i="1"/>
  <c r="G15" i="1"/>
  <c r="I14" i="1"/>
  <c r="J14" i="1" s="1"/>
  <c r="H14" i="1"/>
  <c r="G14" i="1"/>
  <c r="I13" i="1"/>
  <c r="J13" i="1" s="1"/>
  <c r="H13" i="1"/>
  <c r="G13" i="1"/>
  <c r="I12" i="1"/>
  <c r="J12" i="1" s="1"/>
  <c r="H12" i="1"/>
  <c r="G12" i="1"/>
  <c r="F8" i="1"/>
  <c r="F7" i="1"/>
  <c r="D8" i="1"/>
  <c r="D7" i="1"/>
  <c r="I7" i="1"/>
  <c r="G7" i="1"/>
  <c r="I6" i="1"/>
  <c r="J6" i="1" s="1"/>
  <c r="H6" i="1"/>
  <c r="G6" i="1"/>
  <c r="I5" i="1"/>
  <c r="J5" i="1" s="1"/>
  <c r="H5" i="1"/>
  <c r="G5" i="1"/>
  <c r="I4" i="1"/>
  <c r="J4" i="1" s="1"/>
  <c r="H4" i="1"/>
  <c r="G4" i="1"/>
  <c r="I3" i="1"/>
  <c r="J3" i="1" s="1"/>
  <c r="H3" i="1"/>
  <c r="G3" i="1"/>
  <c r="J61" i="1" l="1"/>
  <c r="J62" i="1"/>
  <c r="J53" i="1"/>
  <c r="J43" i="1"/>
  <c r="G44" i="1"/>
  <c r="H34" i="1"/>
  <c r="H35" i="1"/>
  <c r="J35" i="1"/>
  <c r="G35" i="1"/>
  <c r="I26" i="1"/>
  <c r="J26" i="1" s="1"/>
  <c r="J25" i="1"/>
  <c r="J16" i="1"/>
  <c r="H7" i="1"/>
  <c r="G62" i="1"/>
  <c r="H52" i="1"/>
  <c r="H53" i="1"/>
  <c r="J44" i="1"/>
  <c r="H43" i="1"/>
  <c r="J34" i="1"/>
  <c r="H25" i="1"/>
  <c r="J17" i="1"/>
  <c r="G17" i="1"/>
  <c r="H17" i="1"/>
  <c r="H8" i="1"/>
  <c r="J7" i="1"/>
  <c r="G8" i="1"/>
  <c r="I8" i="1"/>
  <c r="J8" i="1" s="1"/>
</calcChain>
</file>

<file path=xl/sharedStrings.xml><?xml version="1.0" encoding="utf-8"?>
<sst xmlns="http://schemas.openxmlformats.org/spreadsheetml/2006/main" count="105" uniqueCount="18">
  <si>
    <t>NH-atlantic</t>
  </si>
  <si>
    <t>sd</t>
  </si>
  <si>
    <t>NH-pacific</t>
  </si>
  <si>
    <t>difference</t>
  </si>
  <si>
    <t>ratio</t>
  </si>
  <si>
    <t>rlut</t>
  </si>
  <si>
    <t>rsut</t>
  </si>
  <si>
    <t>rlutcs</t>
  </si>
  <si>
    <t>rsutcs</t>
  </si>
  <si>
    <t>net_rad</t>
  </si>
  <si>
    <t>ICR</t>
  </si>
  <si>
    <t>CAM-ATRAS ratios, shp-30p-red</t>
  </si>
  <si>
    <t>CESM1 ratios, shp-30p-red</t>
  </si>
  <si>
    <t>E3SM ratios, shp-30p-red</t>
  </si>
  <si>
    <t>GEOS ratios, shp-30p-red</t>
  </si>
  <si>
    <t>GFDL ratios, shp-30p-red</t>
  </si>
  <si>
    <t>GISS ratios, shp-30p-red</t>
  </si>
  <si>
    <t>NorESM2 ratios, shp-30p-red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</si>
</sst>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A495-4597-4B10-90E3-5CC81D10415B}">
  <dimension ref="A1:J62"/>
  <sheetViews>
    <sheetView tabSelected="1" workbookViewId="0">
      <selection activeCell="C4" sqref="C4"/>
    </sheetView>
  </sheetViews>
  <sheetFormatPr defaultRowHeight="14.5" x14ac:dyDescent="0.35"/>
  <cols>
    <col min="3" max="6" width="13.453125" customWidth="1"/>
    <col min="7" max="7" width="14.08984375" customWidth="1"/>
    <col min="8" max="8" width="11.81640625" customWidth="1"/>
    <col min="9" max="10" width="8.81640625" customWidth="1"/>
  </cols>
  <sheetData>
    <row r="1" spans="1:10" x14ac:dyDescent="0.35">
      <c r="A1" t="s">
        <v>11</v>
      </c>
    </row>
    <row r="2" spans="1:10" x14ac:dyDescent="0.35">
      <c r="C2" t="s">
        <v>0</v>
      </c>
      <c r="D2" t="s">
        <v>1</v>
      </c>
      <c r="E2" t="s">
        <v>2</v>
      </c>
      <c r="F2" t="s">
        <v>1</v>
      </c>
      <c r="G2" t="s">
        <v>3</v>
      </c>
      <c r="H2" t="s">
        <v>1</v>
      </c>
      <c r="I2" t="s">
        <v>4</v>
      </c>
      <c r="J2" t="s">
        <v>1</v>
      </c>
    </row>
    <row r="3" spans="1:10" x14ac:dyDescent="0.35">
      <c r="B3" t="s">
        <v>5</v>
      </c>
      <c r="C3" s="1">
        <v>475796549291.15002</v>
      </c>
      <c r="D3" s="1">
        <v>601911849766.60596</v>
      </c>
      <c r="E3" s="1">
        <v>1080436454991.6801</v>
      </c>
      <c r="F3" s="1">
        <v>1628973920798.48</v>
      </c>
      <c r="G3" s="1">
        <f>C3-E3</f>
        <v>-604639905700.53003</v>
      </c>
      <c r="H3" s="1">
        <f>SQRT(D3^2+F3^2)</f>
        <v>1736621406504.8921</v>
      </c>
      <c r="I3" s="2">
        <f>C3/E3</f>
        <v>0.44037439415612267</v>
      </c>
      <c r="J3" s="2">
        <f>SQRT((D3/C3)^2+(F3/E3)^2)*I3</f>
        <v>0.8667144594193571</v>
      </c>
    </row>
    <row r="4" spans="1:10" x14ac:dyDescent="0.35">
      <c r="B4" t="s">
        <v>6</v>
      </c>
      <c r="C4" s="1">
        <v>6613776469812.9199</v>
      </c>
      <c r="D4" s="1">
        <v>777130363856.901</v>
      </c>
      <c r="E4" s="1">
        <v>10879692355629.1</v>
      </c>
      <c r="F4" s="1">
        <v>964505157960.30005</v>
      </c>
      <c r="G4" s="1">
        <f t="shared" ref="G4:G8" si="0">C4-E4</f>
        <v>-4265915885816.1797</v>
      </c>
      <c r="H4" s="1">
        <f t="shared" ref="H4:H8" si="1">SQRT(D4^2+F4^2)</f>
        <v>1238629001017.0044</v>
      </c>
      <c r="I4" s="2">
        <f t="shared" ref="I4:I8" si="2">C4/E4</f>
        <v>0.60790105580430165</v>
      </c>
      <c r="J4" s="2">
        <f t="shared" ref="J4:J8" si="3">SQRT((D4/C4)^2+(F4/E4)^2)*I4</f>
        <v>8.9478861450283526E-2</v>
      </c>
    </row>
    <row r="5" spans="1:10" x14ac:dyDescent="0.35">
      <c r="B5" t="s">
        <v>7</v>
      </c>
      <c r="C5" s="1">
        <v>38821688509.780502</v>
      </c>
      <c r="D5" s="1">
        <v>233557740744.41501</v>
      </c>
      <c r="E5" s="1">
        <v>204595763915.008</v>
      </c>
      <c r="F5" s="1">
        <v>739749173991.55103</v>
      </c>
      <c r="G5" s="1">
        <f t="shared" si="0"/>
        <v>-165774075405.22748</v>
      </c>
      <c r="H5" s="1">
        <f t="shared" si="1"/>
        <v>775743552137.44275</v>
      </c>
      <c r="I5" s="2">
        <f t="shared" si="2"/>
        <v>0.18974825170822004</v>
      </c>
      <c r="J5" s="2">
        <f t="shared" si="3"/>
        <v>1.3318552963990278</v>
      </c>
    </row>
    <row r="6" spans="1:10" x14ac:dyDescent="0.35">
      <c r="B6" t="s">
        <v>8</v>
      </c>
      <c r="C6" s="1">
        <v>770508108335.27405</v>
      </c>
      <c r="D6" s="1">
        <v>171470674072.32001</v>
      </c>
      <c r="E6" s="1">
        <v>469703495757.125</v>
      </c>
      <c r="F6" s="1">
        <v>302787883719.04102</v>
      </c>
      <c r="G6" s="1">
        <f t="shared" si="0"/>
        <v>300804612578.14905</v>
      </c>
      <c r="H6" s="1">
        <f t="shared" si="1"/>
        <v>347969387437.84821</v>
      </c>
      <c r="I6" s="2">
        <f t="shared" si="2"/>
        <v>1.6404138255204503</v>
      </c>
      <c r="J6" s="2">
        <f t="shared" si="3"/>
        <v>1.1187104428819501</v>
      </c>
    </row>
    <row r="7" spans="1:10" x14ac:dyDescent="0.35">
      <c r="B7" t="s">
        <v>9</v>
      </c>
      <c r="C7" s="1">
        <v>6137979920521.7803</v>
      </c>
      <c r="D7" s="1">
        <f>SQRT(D3^2+D4^2)</f>
        <v>982969723500.07629</v>
      </c>
      <c r="E7" s="1">
        <v>9799255900637.4004</v>
      </c>
      <c r="F7" s="1">
        <f>SQRT(F3^2+F4^2)</f>
        <v>1893099636673.5681</v>
      </c>
      <c r="G7" s="1">
        <f t="shared" si="0"/>
        <v>-3661275980115.6201</v>
      </c>
      <c r="H7" s="1">
        <f t="shared" si="1"/>
        <v>2133085959752.0706</v>
      </c>
      <c r="I7" s="2">
        <f t="shared" si="2"/>
        <v>0.62637204117942569</v>
      </c>
      <c r="J7" s="2">
        <f t="shared" si="3"/>
        <v>0.15717847087827774</v>
      </c>
    </row>
    <row r="8" spans="1:10" x14ac:dyDescent="0.35">
      <c r="B8" t="s">
        <v>10</v>
      </c>
      <c r="C8" s="1">
        <v>5328650123676.7256</v>
      </c>
      <c r="D8" s="1">
        <f>SQRT(D3^2+D4^2+D5^2+D6^2)</f>
        <v>1024783336928.4786</v>
      </c>
      <c r="E8" s="1">
        <v>9534148168795.2832</v>
      </c>
      <c r="F8" s="1">
        <f>SQRT(F3^2+F4^2+F5^2+F6^2)</f>
        <v>2054929579650.3181</v>
      </c>
      <c r="G8" s="1">
        <f t="shared" si="0"/>
        <v>-4205498045118.5576</v>
      </c>
      <c r="H8" s="1">
        <f t="shared" si="1"/>
        <v>2296283184837.6411</v>
      </c>
      <c r="I8" s="2">
        <f t="shared" si="2"/>
        <v>0.5589015430992661</v>
      </c>
      <c r="J8" s="2">
        <f t="shared" si="3"/>
        <v>0.1614442938310211</v>
      </c>
    </row>
    <row r="10" spans="1:10" x14ac:dyDescent="0.35">
      <c r="A10" t="s">
        <v>12</v>
      </c>
    </row>
    <row r="11" spans="1:10" x14ac:dyDescent="0.35">
      <c r="C11" t="s">
        <v>0</v>
      </c>
      <c r="D11" t="s">
        <v>1</v>
      </c>
      <c r="E11" t="s">
        <v>2</v>
      </c>
      <c r="F11" t="s">
        <v>1</v>
      </c>
      <c r="G11" t="s">
        <v>3</v>
      </c>
      <c r="H11" t="s">
        <v>1</v>
      </c>
      <c r="I11" t="s">
        <v>4</v>
      </c>
      <c r="J11" t="s">
        <v>1</v>
      </c>
    </row>
    <row r="12" spans="1:10" x14ac:dyDescent="0.35">
      <c r="B12" t="s">
        <v>5</v>
      </c>
      <c r="C12" s="1">
        <v>3251638174383.5801</v>
      </c>
      <c r="D12" s="1">
        <v>1065113091682.12</v>
      </c>
      <c r="E12" s="1">
        <v>3667320434209.48</v>
      </c>
      <c r="F12" s="1">
        <v>4796910866342.1602</v>
      </c>
      <c r="G12" s="1">
        <f>C12-E12</f>
        <v>-415682259825.8999</v>
      </c>
      <c r="H12" s="1">
        <f>SQRT(D12^2+F12^2)</f>
        <v>4913737860092.2676</v>
      </c>
      <c r="I12" s="2">
        <f>C12/E12</f>
        <v>0.88665232087484513</v>
      </c>
      <c r="J12" s="2">
        <f>SQRT((D12/C12)^2+(F12/E12)^2)*I12</f>
        <v>1.195567927663193</v>
      </c>
    </row>
    <row r="13" spans="1:10" x14ac:dyDescent="0.35">
      <c r="B13" t="s">
        <v>6</v>
      </c>
      <c r="C13" s="1">
        <v>9487940488936.4707</v>
      </c>
      <c r="D13" s="1">
        <v>3820927089448.2202</v>
      </c>
      <c r="E13" s="1">
        <v>7162849533627.0898</v>
      </c>
      <c r="F13" s="1">
        <v>5743016599658.6797</v>
      </c>
      <c r="G13" s="1">
        <f t="shared" ref="G13:G17" si="4">C13-E13</f>
        <v>2325090955309.3809</v>
      </c>
      <c r="H13" s="1">
        <f t="shared" ref="H13:H17" si="5">SQRT(D13^2+F13^2)</f>
        <v>6897950672977.7646</v>
      </c>
      <c r="I13" s="2">
        <f t="shared" ref="I13:I17" si="6">C13/E13</f>
        <v>1.3246041878157411</v>
      </c>
      <c r="J13" s="2">
        <f t="shared" ref="J13:J17" si="7">SQRT((D13/C13)^2+(F13/E13)^2)*I13</f>
        <v>1.1884784733660196</v>
      </c>
    </row>
    <row r="14" spans="1:10" x14ac:dyDescent="0.35">
      <c r="B14" t="s">
        <v>7</v>
      </c>
      <c r="C14" s="1">
        <v>801677739984.53796</v>
      </c>
      <c r="D14" s="1">
        <v>339338142322.97198</v>
      </c>
      <c r="E14" s="1">
        <v>1437647030995.1499</v>
      </c>
      <c r="F14" s="1">
        <v>1202720546268.78</v>
      </c>
      <c r="G14" s="1">
        <f t="shared" si="4"/>
        <v>-635969291010.61194</v>
      </c>
      <c r="H14" s="1">
        <f t="shared" si="5"/>
        <v>1249674792596.9692</v>
      </c>
      <c r="I14" s="2">
        <f t="shared" si="6"/>
        <v>0.55763182665887789</v>
      </c>
      <c r="J14" s="2">
        <f t="shared" si="7"/>
        <v>0.52282327725858768</v>
      </c>
    </row>
    <row r="15" spans="1:10" x14ac:dyDescent="0.35">
      <c r="B15" t="s">
        <v>8</v>
      </c>
      <c r="C15" s="1">
        <v>1630453945087.1399</v>
      </c>
      <c r="D15" s="1">
        <v>397062371735.86603</v>
      </c>
      <c r="E15" s="1">
        <v>1093572283871.8</v>
      </c>
      <c r="F15" s="1">
        <v>166941019465.89001</v>
      </c>
      <c r="G15" s="1">
        <f t="shared" si="4"/>
        <v>536881661215.33984</v>
      </c>
      <c r="H15" s="1">
        <f t="shared" si="5"/>
        <v>430729417417.50323</v>
      </c>
      <c r="I15" s="2">
        <f t="shared" si="6"/>
        <v>1.4909430031588828</v>
      </c>
      <c r="J15" s="2">
        <f t="shared" si="7"/>
        <v>0.42852688827149166</v>
      </c>
    </row>
    <row r="16" spans="1:10" x14ac:dyDescent="0.35">
      <c r="B16" t="s">
        <v>9</v>
      </c>
      <c r="C16" s="1">
        <v>6236302314552.8896</v>
      </c>
      <c r="D16" s="1">
        <f>SQRT(D12^2+D13^2)</f>
        <v>3966604306072.373</v>
      </c>
      <c r="E16" s="1">
        <v>3495529099417.6099</v>
      </c>
      <c r="F16" s="1">
        <f>SQRT(F12^2+F13^2)</f>
        <v>7482819891163.1328</v>
      </c>
      <c r="G16" s="1">
        <f t="shared" si="4"/>
        <v>2740773215135.2798</v>
      </c>
      <c r="H16" s="1">
        <f t="shared" si="5"/>
        <v>8469152451369.5313</v>
      </c>
      <c r="I16" s="2">
        <f t="shared" si="6"/>
        <v>1.7840796449361329</v>
      </c>
      <c r="J16" s="2">
        <f t="shared" si="7"/>
        <v>3.98416757333819</v>
      </c>
    </row>
    <row r="17" spans="1:10" x14ac:dyDescent="0.35">
      <c r="B17" t="s">
        <v>10</v>
      </c>
      <c r="C17" s="1">
        <v>5407526109450.2881</v>
      </c>
      <c r="D17" s="1">
        <f>SQRT(D12^2+D13^2+D14^2+D15^2)</f>
        <v>4000844738656.5264</v>
      </c>
      <c r="E17" s="1">
        <v>3839603846540.96</v>
      </c>
      <c r="F17" s="1">
        <f>SQRT(F12^2+F13^2+F14^2+F15^2)</f>
        <v>7580699145856.1406</v>
      </c>
      <c r="G17" s="1">
        <f t="shared" si="4"/>
        <v>1567922262909.3281</v>
      </c>
      <c r="H17" s="1">
        <f t="shared" si="5"/>
        <v>8571683508087.5234</v>
      </c>
      <c r="I17" s="2">
        <f t="shared" si="6"/>
        <v>1.4083552172503018</v>
      </c>
      <c r="J17" s="2">
        <f t="shared" si="7"/>
        <v>2.9694047672041144</v>
      </c>
    </row>
    <row r="19" spans="1:10" x14ac:dyDescent="0.35">
      <c r="A19" t="s">
        <v>13</v>
      </c>
    </row>
    <row r="20" spans="1:10" x14ac:dyDescent="0.35">
      <c r="C20" t="s">
        <v>0</v>
      </c>
      <c r="D20" t="s">
        <v>1</v>
      </c>
      <c r="E20" t="s">
        <v>2</v>
      </c>
      <c r="F20" t="s">
        <v>1</v>
      </c>
      <c r="G20" t="s">
        <v>3</v>
      </c>
      <c r="H20" t="s">
        <v>1</v>
      </c>
      <c r="I20" t="s">
        <v>4</v>
      </c>
      <c r="J20" t="s">
        <v>1</v>
      </c>
    </row>
    <row r="21" spans="1:10" x14ac:dyDescent="0.35">
      <c r="B21" t="s">
        <v>5</v>
      </c>
      <c r="C21" s="1">
        <v>740515347952.67603</v>
      </c>
      <c r="D21" s="1">
        <v>2750506276735.8701</v>
      </c>
      <c r="E21" s="1">
        <v>2765342913062</v>
      </c>
      <c r="F21" s="1">
        <v>4309592203439.7998</v>
      </c>
      <c r="G21" s="1">
        <f>C21-E21</f>
        <v>-2024827565109.324</v>
      </c>
      <c r="H21" s="1">
        <f>SQRT(D21^2+F21^2)</f>
        <v>5112520879009.9355</v>
      </c>
      <c r="I21" s="2">
        <f>C21/E21</f>
        <v>0.26778427530809212</v>
      </c>
      <c r="J21" s="2">
        <f>SQRT((D21/C21)^2+(F21/E21)^2)*I21</f>
        <v>1.0786365492696235</v>
      </c>
    </row>
    <row r="22" spans="1:10" x14ac:dyDescent="0.35">
      <c r="B22" t="s">
        <v>6</v>
      </c>
      <c r="C22" s="1">
        <v>2162603287180.1899</v>
      </c>
      <c r="D22" s="1">
        <v>3143205606717.6699</v>
      </c>
      <c r="E22" s="1">
        <v>5133228892453.1201</v>
      </c>
      <c r="F22" s="1">
        <v>3817396774508.9302</v>
      </c>
      <c r="G22" s="1">
        <f t="shared" ref="G22:G26" si="8">C22-E22</f>
        <v>-2970625605272.9302</v>
      </c>
      <c r="H22" s="1">
        <f t="shared" ref="H22:H26" si="9">SQRT(D22^2+F22^2)</f>
        <v>4944922610125.7217</v>
      </c>
      <c r="I22" s="2">
        <f t="shared" ref="I22:I26" si="10">C22/E22</f>
        <v>0.42129492615450131</v>
      </c>
      <c r="J22" s="2">
        <f t="shared" ref="J22:J26" si="11">SQRT((D22/C22)^2+(F22/E22)^2)*I22</f>
        <v>0.68782281201405338</v>
      </c>
    </row>
    <row r="23" spans="1:10" x14ac:dyDescent="0.35">
      <c r="B23" t="s">
        <v>7</v>
      </c>
      <c r="C23" s="1">
        <v>486381724621.63202</v>
      </c>
      <c r="D23" s="1">
        <v>443890333154.47699</v>
      </c>
      <c r="E23" s="1">
        <v>686386794951.677</v>
      </c>
      <c r="F23" s="1">
        <v>1361036332193.75</v>
      </c>
      <c r="G23" s="1">
        <f t="shared" si="8"/>
        <v>-200005070330.04498</v>
      </c>
      <c r="H23" s="1">
        <f t="shared" si="9"/>
        <v>1431593002713.9028</v>
      </c>
      <c r="I23" s="2">
        <f t="shared" si="10"/>
        <v>0.70861171601629414</v>
      </c>
      <c r="J23" s="2">
        <f t="shared" si="11"/>
        <v>1.5467875230580723</v>
      </c>
    </row>
    <row r="24" spans="1:10" x14ac:dyDescent="0.35">
      <c r="B24" t="s">
        <v>8</v>
      </c>
      <c r="C24" s="1">
        <v>1324088160228.4399</v>
      </c>
      <c r="D24" s="1">
        <v>73583681781.787994</v>
      </c>
      <c r="E24" s="1">
        <v>996475891867.73999</v>
      </c>
      <c r="F24" s="1">
        <v>338947066207.07202</v>
      </c>
      <c r="G24" s="1">
        <f t="shared" si="8"/>
        <v>327612268360.69995</v>
      </c>
      <c r="H24" s="1">
        <f t="shared" si="9"/>
        <v>346842430961.01251</v>
      </c>
      <c r="I24" s="2">
        <f t="shared" si="10"/>
        <v>1.328770892536739</v>
      </c>
      <c r="J24" s="2">
        <f t="shared" si="11"/>
        <v>0.45796839877716583</v>
      </c>
    </row>
    <row r="25" spans="1:10" x14ac:dyDescent="0.35">
      <c r="B25" t="s">
        <v>9</v>
      </c>
      <c r="C25" s="1">
        <v>2903118635132.8701</v>
      </c>
      <c r="D25" s="1">
        <f>SQRT(D21^2+D22^2)</f>
        <v>4176724346238.9058</v>
      </c>
      <c r="E25" s="1">
        <v>2367885979391.1299</v>
      </c>
      <c r="F25" s="1">
        <f>SQRT(F21^2+F22^2)</f>
        <v>5757178396921.5596</v>
      </c>
      <c r="G25" s="1">
        <f t="shared" si="8"/>
        <v>535232655741.74023</v>
      </c>
      <c r="H25" s="1">
        <f t="shared" si="9"/>
        <v>7112673854356.3984</v>
      </c>
      <c r="I25" s="2">
        <f t="shared" si="10"/>
        <v>1.2260381878182192</v>
      </c>
      <c r="J25" s="2">
        <f t="shared" si="11"/>
        <v>3.4637188159838037</v>
      </c>
    </row>
    <row r="26" spans="1:10" x14ac:dyDescent="0.35">
      <c r="B26" t="s">
        <v>10</v>
      </c>
      <c r="C26" s="1">
        <v>1092648750282.7983</v>
      </c>
      <c r="D26" s="1">
        <f>SQRT(D21^2+D22^2+D23^2+D24^2)</f>
        <v>4200890316415.9585</v>
      </c>
      <c r="E26" s="1">
        <v>2057796882475.0667</v>
      </c>
      <c r="F26" s="1">
        <f>SQRT(F21^2+F22^2+F23^2+F24^2)</f>
        <v>5925572386295.0225</v>
      </c>
      <c r="G26" s="1">
        <f t="shared" si="8"/>
        <v>-965148132192.26831</v>
      </c>
      <c r="H26" s="1">
        <f t="shared" si="9"/>
        <v>7263600178684.084</v>
      </c>
      <c r="I26" s="2">
        <f t="shared" si="10"/>
        <v>0.53097988416066977</v>
      </c>
      <c r="J26" s="2">
        <f t="shared" si="11"/>
        <v>2.5505574786853424</v>
      </c>
    </row>
    <row r="28" spans="1:10" x14ac:dyDescent="0.35">
      <c r="A28" t="s">
        <v>14</v>
      </c>
    </row>
    <row r="29" spans="1:10" x14ac:dyDescent="0.35">
      <c r="C29" t="s">
        <v>0</v>
      </c>
      <c r="D29" t="s">
        <v>1</v>
      </c>
      <c r="E29" t="s">
        <v>2</v>
      </c>
      <c r="F29" t="s">
        <v>1</v>
      </c>
      <c r="G29" t="s">
        <v>3</v>
      </c>
      <c r="H29" t="s">
        <v>1</v>
      </c>
      <c r="I29" t="s">
        <v>4</v>
      </c>
      <c r="J29" t="s">
        <v>1</v>
      </c>
    </row>
    <row r="30" spans="1:10" x14ac:dyDescent="0.35">
      <c r="B30" t="s">
        <v>5</v>
      </c>
      <c r="C30" s="1">
        <v>2278056814.41713</v>
      </c>
      <c r="D30" s="1">
        <v>88028984422.863602</v>
      </c>
      <c r="E30" s="1">
        <v>54839866332.131203</v>
      </c>
      <c r="F30" s="1">
        <v>169715725134.702</v>
      </c>
      <c r="G30" s="1">
        <f>C30-E30</f>
        <v>-52561809517.714073</v>
      </c>
      <c r="H30" s="1">
        <f>SQRT(D30^2+F30^2)</f>
        <v>191187158189.34723</v>
      </c>
      <c r="I30" s="2">
        <f>C30/E30</f>
        <v>4.1540159865094246E-2</v>
      </c>
      <c r="J30" s="2">
        <f>SQRT((D30/C30)^2+(F30/E30)^2)*I30</f>
        <v>1.610340216843712</v>
      </c>
    </row>
    <row r="31" spans="1:10" x14ac:dyDescent="0.35">
      <c r="B31" t="s">
        <v>6</v>
      </c>
      <c r="C31" s="1">
        <v>403468228789.25598</v>
      </c>
      <c r="D31" s="1">
        <v>581619833755.87</v>
      </c>
      <c r="E31" s="1">
        <v>412058937940.55103</v>
      </c>
      <c r="F31" s="1">
        <v>984093941160.922</v>
      </c>
      <c r="G31" s="1">
        <f t="shared" ref="G31:G35" si="12">C31-E31</f>
        <v>-8590709151.2950439</v>
      </c>
      <c r="H31" s="1">
        <f t="shared" ref="H31:H35" si="13">SQRT(D31^2+F31^2)</f>
        <v>1143119642053.2026</v>
      </c>
      <c r="I31" s="2">
        <f t="shared" ref="I31:I35" si="14">C31/E31</f>
        <v>0.97915174660636906</v>
      </c>
      <c r="J31" s="2">
        <f t="shared" ref="J31:J35" si="15">SQRT((D31/C31)^2+(F31/E31)^2)*I31</f>
        <v>2.731418960654556</v>
      </c>
    </row>
    <row r="32" spans="1:10" x14ac:dyDescent="0.35">
      <c r="B32" t="s">
        <v>7</v>
      </c>
      <c r="C32" s="1">
        <v>4190042484.2869802</v>
      </c>
      <c r="D32" s="1">
        <v>14484052767.8396</v>
      </c>
      <c r="E32" s="1">
        <v>3635248620.18647</v>
      </c>
      <c r="F32" s="1">
        <v>11742838129.242399</v>
      </c>
      <c r="G32" s="1">
        <f t="shared" si="12"/>
        <v>554793864.10051012</v>
      </c>
      <c r="H32" s="1">
        <f t="shared" si="13"/>
        <v>18646233719.203217</v>
      </c>
      <c r="I32" s="2">
        <f t="shared" si="14"/>
        <v>1.152615108914353</v>
      </c>
      <c r="J32" s="2">
        <f t="shared" si="15"/>
        <v>5.4532186625114036</v>
      </c>
    </row>
    <row r="33" spans="1:10" x14ac:dyDescent="0.35">
      <c r="B33" t="s">
        <v>8</v>
      </c>
      <c r="C33" s="1">
        <v>621828452553.401</v>
      </c>
      <c r="D33" s="1">
        <v>81621377439.266205</v>
      </c>
      <c r="E33" s="1">
        <v>654091160080.13403</v>
      </c>
      <c r="F33" s="1">
        <v>66665585652.734596</v>
      </c>
      <c r="G33" s="1">
        <f t="shared" si="12"/>
        <v>-32262707526.733032</v>
      </c>
      <c r="H33" s="1">
        <f t="shared" si="13"/>
        <v>105386666924.73601</v>
      </c>
      <c r="I33" s="2">
        <f t="shared" si="14"/>
        <v>0.95067551819110285</v>
      </c>
      <c r="J33" s="2">
        <f t="shared" si="15"/>
        <v>0.15798711025999151</v>
      </c>
    </row>
    <row r="34" spans="1:10" x14ac:dyDescent="0.35">
      <c r="B34" t="s">
        <v>9</v>
      </c>
      <c r="C34" s="1">
        <v>401190171974.83899</v>
      </c>
      <c r="D34" s="1">
        <f>SQRT(D30^2+D31^2)</f>
        <v>588243770146.97461</v>
      </c>
      <c r="E34" s="1">
        <v>357219071608.41901</v>
      </c>
      <c r="F34" s="1">
        <f>SQRT(F30^2+F31^2)</f>
        <v>998621205656.89673</v>
      </c>
      <c r="G34" s="1">
        <f t="shared" si="12"/>
        <v>43971100366.419983</v>
      </c>
      <c r="H34" s="1">
        <f t="shared" si="13"/>
        <v>1158997431189.7161</v>
      </c>
      <c r="I34" s="2">
        <f t="shared" si="14"/>
        <v>1.1230928129577045</v>
      </c>
      <c r="J34" s="2">
        <f t="shared" si="15"/>
        <v>3.5452998330946937</v>
      </c>
    </row>
    <row r="35" spans="1:10" x14ac:dyDescent="0.35">
      <c r="B35" t="s">
        <v>10</v>
      </c>
      <c r="C35" s="1">
        <v>216448238094.27499</v>
      </c>
      <c r="D35" s="1">
        <f>SQRT(D30^2+D31^2+D32^2+D33^2)</f>
        <v>594056032842.3501</v>
      </c>
      <c r="E35" s="1">
        <v>293236839851.52899</v>
      </c>
      <c r="F35" s="1">
        <f>SQRT(F30^2+F31^2+F32^2+F33^2)</f>
        <v>1000912836837.1471</v>
      </c>
      <c r="G35" s="1">
        <f t="shared" si="12"/>
        <v>-76788601757.253998</v>
      </c>
      <c r="H35" s="1">
        <f t="shared" si="13"/>
        <v>1163928295515.5686</v>
      </c>
      <c r="I35" s="2">
        <f t="shared" si="14"/>
        <v>0.73813453385961525</v>
      </c>
      <c r="J35" s="2">
        <f t="shared" si="15"/>
        <v>3.232946978562182</v>
      </c>
    </row>
    <row r="37" spans="1:10" x14ac:dyDescent="0.35">
      <c r="A37" t="s">
        <v>15</v>
      </c>
    </row>
    <row r="38" spans="1:10" x14ac:dyDescent="0.35">
      <c r="C38" t="s">
        <v>0</v>
      </c>
      <c r="D38" t="s">
        <v>1</v>
      </c>
      <c r="E38" t="s">
        <v>2</v>
      </c>
      <c r="F38" t="s">
        <v>1</v>
      </c>
      <c r="G38" t="s">
        <v>3</v>
      </c>
      <c r="H38" t="s">
        <v>1</v>
      </c>
      <c r="I38" t="s">
        <v>4</v>
      </c>
      <c r="J38" t="s">
        <v>1</v>
      </c>
    </row>
    <row r="39" spans="1:10" x14ac:dyDescent="0.35">
      <c r="B39" t="s">
        <v>5</v>
      </c>
      <c r="C39" s="1">
        <v>602417731815.599</v>
      </c>
      <c r="D39" s="1">
        <v>2560491682820.5801</v>
      </c>
      <c r="E39" s="1">
        <v>712510160539.82605</v>
      </c>
      <c r="F39" s="1">
        <v>5515647828949.7998</v>
      </c>
      <c r="G39" s="1">
        <f>C39-E39</f>
        <v>-110092428724.22705</v>
      </c>
      <c r="H39" s="1">
        <f>SQRT(D39^2+F39^2)</f>
        <v>6080994049560.6475</v>
      </c>
      <c r="I39" s="2">
        <f>C39/E39</f>
        <v>0.84548651398765085</v>
      </c>
      <c r="J39" s="2">
        <f>SQRT((D39/C39)^2+(F39/E39)^2)*I39</f>
        <v>7.4667015707005087</v>
      </c>
    </row>
    <row r="40" spans="1:10" x14ac:dyDescent="0.35">
      <c r="B40" t="s">
        <v>6</v>
      </c>
      <c r="C40" s="1">
        <v>1760708273686.3701</v>
      </c>
      <c r="D40" s="1">
        <v>3003539666925.9902</v>
      </c>
      <c r="E40" s="1">
        <v>5218412302402.1602</v>
      </c>
      <c r="F40" s="1">
        <v>5811670541958.4102</v>
      </c>
      <c r="G40" s="1">
        <f t="shared" ref="G40:G44" si="16">C40-E40</f>
        <v>-3457704028715.79</v>
      </c>
      <c r="H40" s="1">
        <f t="shared" ref="H40:H44" si="17">SQRT(D40^2+F40^2)</f>
        <v>6541923648214.2656</v>
      </c>
      <c r="I40" s="2">
        <f t="shared" ref="I40:I44" si="18">C40/E40</f>
        <v>0.3374030589487676</v>
      </c>
      <c r="J40" s="2">
        <f t="shared" ref="J40:J44" si="19">SQRT((D40/C40)^2+(F40/E40)^2)*I40</f>
        <v>0.68736617902611863</v>
      </c>
    </row>
    <row r="41" spans="1:10" x14ac:dyDescent="0.35">
      <c r="B41" t="s">
        <v>7</v>
      </c>
      <c r="C41" s="1">
        <v>691424871723.40295</v>
      </c>
      <c r="D41" s="1">
        <v>721572578549.10706</v>
      </c>
      <c r="E41" s="1">
        <v>755413713906.927</v>
      </c>
      <c r="F41" s="1">
        <v>1735690308411.1299</v>
      </c>
      <c r="G41" s="1">
        <f t="shared" si="16"/>
        <v>-63988842183.524048</v>
      </c>
      <c r="H41" s="1">
        <f t="shared" si="17"/>
        <v>1879704187585.4644</v>
      </c>
      <c r="I41" s="2">
        <f t="shared" si="18"/>
        <v>0.91529298316206109</v>
      </c>
      <c r="J41" s="2">
        <f t="shared" si="19"/>
        <v>2.3098024334228833</v>
      </c>
    </row>
    <row r="42" spans="1:10" x14ac:dyDescent="0.35">
      <c r="B42" t="s">
        <v>8</v>
      </c>
      <c r="C42" s="1">
        <v>233206044765.66901</v>
      </c>
      <c r="D42" s="1">
        <v>427483739255.11102</v>
      </c>
      <c r="E42" s="1">
        <v>758841026100.95703</v>
      </c>
      <c r="F42" s="1">
        <v>738229876730.71594</v>
      </c>
      <c r="G42" s="1">
        <f t="shared" si="16"/>
        <v>-525634981335.28802</v>
      </c>
      <c r="H42" s="1">
        <f t="shared" si="17"/>
        <v>853068401844.41235</v>
      </c>
      <c r="I42" s="2">
        <f t="shared" si="18"/>
        <v>0.30731870937964156</v>
      </c>
      <c r="J42" s="2">
        <f t="shared" si="19"/>
        <v>0.63775646142657727</v>
      </c>
    </row>
    <row r="43" spans="1:10" x14ac:dyDescent="0.35">
      <c r="B43" t="s">
        <v>9</v>
      </c>
      <c r="C43" s="1">
        <v>2363126005501.9702</v>
      </c>
      <c r="D43" s="1">
        <f>SQRT(D39^2+D40^2)</f>
        <v>3946817475966.0796</v>
      </c>
      <c r="E43" s="1">
        <v>4505902141862.3398</v>
      </c>
      <c r="F43" s="1">
        <f>SQRT(F39^2+F40^2)</f>
        <v>8012358295861.8242</v>
      </c>
      <c r="G43" s="1">
        <f t="shared" si="16"/>
        <v>-2142776136360.3696</v>
      </c>
      <c r="H43" s="1">
        <f t="shared" si="17"/>
        <v>8931699370772.4531</v>
      </c>
      <c r="I43" s="2">
        <f t="shared" si="18"/>
        <v>0.52445124885141503</v>
      </c>
      <c r="J43" s="2">
        <f t="shared" si="19"/>
        <v>1.2794275299326263</v>
      </c>
    </row>
    <row r="44" spans="1:10" x14ac:dyDescent="0.35">
      <c r="B44" t="s">
        <v>10</v>
      </c>
      <c r="C44" s="1">
        <v>1438495089012.8984</v>
      </c>
      <c r="D44" s="1">
        <f>SQRT(D39^2+D40^2+D41^2+D42^2)</f>
        <v>4034944550056.7651</v>
      </c>
      <c r="E44" s="1">
        <v>2991647401854.4561</v>
      </c>
      <c r="F44" s="1">
        <f>SQRT(F39^2+F40^2+F41^2+F42^2)</f>
        <v>8231372282850.2891</v>
      </c>
      <c r="G44" s="1">
        <f t="shared" si="16"/>
        <v>-1553152312841.5576</v>
      </c>
      <c r="H44" s="1">
        <f t="shared" si="17"/>
        <v>9167129713324.0547</v>
      </c>
      <c r="I44" s="2">
        <f t="shared" si="18"/>
        <v>0.4808371093870244</v>
      </c>
      <c r="J44" s="2">
        <f t="shared" si="19"/>
        <v>1.8892907062782847</v>
      </c>
    </row>
    <row r="46" spans="1:10" x14ac:dyDescent="0.35">
      <c r="A46" t="s">
        <v>16</v>
      </c>
    </row>
    <row r="47" spans="1:10" x14ac:dyDescent="0.35">
      <c r="C47" t="s">
        <v>0</v>
      </c>
      <c r="D47" t="s">
        <v>1</v>
      </c>
      <c r="E47" t="s">
        <v>2</v>
      </c>
      <c r="F47" t="s">
        <v>1</v>
      </c>
      <c r="G47" t="s">
        <v>3</v>
      </c>
      <c r="H47" t="s">
        <v>1</v>
      </c>
      <c r="I47" t="s">
        <v>4</v>
      </c>
      <c r="J47" t="s">
        <v>1</v>
      </c>
    </row>
    <row r="48" spans="1:10" x14ac:dyDescent="0.35">
      <c r="B48" t="s">
        <v>5</v>
      </c>
      <c r="C48" s="1">
        <v>581488725350.27905</v>
      </c>
      <c r="D48" s="1">
        <v>513222435912.84003</v>
      </c>
      <c r="E48" s="1">
        <v>355378126603.242</v>
      </c>
      <c r="F48" s="1">
        <v>1122451743639.1299</v>
      </c>
      <c r="G48" s="1">
        <f>C48-E48</f>
        <v>226110598747.03705</v>
      </c>
      <c r="H48" s="1">
        <f>SQRT(D48^2+F48^2)</f>
        <v>1234218451297.3513</v>
      </c>
      <c r="I48" s="2">
        <f>C48/E48</f>
        <v>1.6362535615465037</v>
      </c>
      <c r="J48" s="2">
        <f>SQRT((D48/C48)^2+(F48/E48)^2)*I48</f>
        <v>5.3660454710925061</v>
      </c>
    </row>
    <row r="49" spans="1:10" x14ac:dyDescent="0.35">
      <c r="B49" t="s">
        <v>6</v>
      </c>
      <c r="C49" s="1">
        <v>3305196591189.9199</v>
      </c>
      <c r="D49" s="1">
        <v>1017992599077.3199</v>
      </c>
      <c r="E49" s="1">
        <v>3335896909560.6099</v>
      </c>
      <c r="F49" s="1">
        <v>3036184945513.6802</v>
      </c>
      <c r="G49" s="1">
        <f t="shared" ref="G49:G53" si="20">C49-E49</f>
        <v>-30700318370.689941</v>
      </c>
      <c r="H49" s="1">
        <f t="shared" ref="H49:H53" si="21">SQRT(D49^2+F49^2)</f>
        <v>3202300416129.022</v>
      </c>
      <c r="I49" s="2">
        <f t="shared" ref="I49:I53" si="22">C49/E49</f>
        <v>0.99079698228002688</v>
      </c>
      <c r="J49" s="2">
        <f t="shared" ref="J49:J53" si="23">SQRT((D49/C49)^2+(F49/E49)^2)*I49</f>
        <v>0.9520139025221146</v>
      </c>
    </row>
    <row r="50" spans="1:10" x14ac:dyDescent="0.35">
      <c r="B50" t="s">
        <v>7</v>
      </c>
      <c r="C50" s="1">
        <v>168007723829.94199</v>
      </c>
      <c r="D50" s="1">
        <v>212068832447.55899</v>
      </c>
      <c r="E50" s="1">
        <v>54035039658.629303</v>
      </c>
      <c r="F50" s="1">
        <v>279192724520.52502</v>
      </c>
      <c r="G50" s="1">
        <f t="shared" si="20"/>
        <v>113972684171.31268</v>
      </c>
      <c r="H50" s="1">
        <f t="shared" si="21"/>
        <v>350602006726.80786</v>
      </c>
      <c r="I50" s="2">
        <f t="shared" si="22"/>
        <v>3.1092366155617586</v>
      </c>
      <c r="J50" s="2">
        <f t="shared" si="23"/>
        <v>16.537506270402595</v>
      </c>
    </row>
    <row r="51" spans="1:10" x14ac:dyDescent="0.35">
      <c r="B51" t="s">
        <v>8</v>
      </c>
      <c r="C51" s="1">
        <v>2720752773649.1699</v>
      </c>
      <c r="D51" s="1">
        <v>447878217216.328</v>
      </c>
      <c r="E51" s="1">
        <v>2022972413456.9199</v>
      </c>
      <c r="F51" s="1">
        <v>67728719524.8097</v>
      </c>
      <c r="G51" s="1">
        <f t="shared" si="20"/>
        <v>697780360192.25</v>
      </c>
      <c r="H51" s="1">
        <f t="shared" si="21"/>
        <v>452970282585.23389</v>
      </c>
      <c r="I51" s="2">
        <f t="shared" si="22"/>
        <v>1.3449282627635344</v>
      </c>
      <c r="J51" s="2">
        <f t="shared" si="23"/>
        <v>0.22592864169246979</v>
      </c>
    </row>
    <row r="52" spans="1:10" x14ac:dyDescent="0.35">
      <c r="B52" t="s">
        <v>9</v>
      </c>
      <c r="C52" s="1">
        <v>2723707865839.6401</v>
      </c>
      <c r="D52" s="1">
        <f>SQRT(D48^2+D49^2)</f>
        <v>1140046578215.3403</v>
      </c>
      <c r="E52" s="1">
        <v>3691275036163.8501</v>
      </c>
      <c r="F52" s="1">
        <f>SQRT(F48^2+F49^2)</f>
        <v>3237022851350.0537</v>
      </c>
      <c r="G52" s="1">
        <f t="shared" si="20"/>
        <v>-967567170324.20996</v>
      </c>
      <c r="H52" s="1">
        <f t="shared" si="21"/>
        <v>3431912461101.3809</v>
      </c>
      <c r="I52" s="2">
        <f t="shared" si="22"/>
        <v>0.73787724814736311</v>
      </c>
      <c r="J52" s="2">
        <f t="shared" si="23"/>
        <v>0.71700178125701519</v>
      </c>
    </row>
    <row r="53" spans="1:10" x14ac:dyDescent="0.35">
      <c r="B53" t="s">
        <v>10</v>
      </c>
      <c r="C53" s="1">
        <v>170962816020.41211</v>
      </c>
      <c r="D53" s="1">
        <f>SQRT(D48^2+D49^2+D50^2+D51^2)</f>
        <v>1243090619244.2502</v>
      </c>
      <c r="E53" s="1">
        <v>1722337662365.5596</v>
      </c>
      <c r="F53" s="1">
        <f>SQRT(F48^2+F49^2+F50^2+F51^2)</f>
        <v>3249746558892.8774</v>
      </c>
      <c r="G53" s="1">
        <f t="shared" si="20"/>
        <v>-1551374846345.1475</v>
      </c>
      <c r="H53" s="1">
        <f t="shared" si="21"/>
        <v>3479386006853.6738</v>
      </c>
      <c r="I53" s="2">
        <f t="shared" si="22"/>
        <v>9.9262078369465462E-2</v>
      </c>
      <c r="J53" s="2">
        <f t="shared" si="23"/>
        <v>0.745650775941334</v>
      </c>
    </row>
    <row r="55" spans="1:10" x14ac:dyDescent="0.35">
      <c r="A55" t="s">
        <v>17</v>
      </c>
    </row>
    <row r="56" spans="1:10" x14ac:dyDescent="0.35">
      <c r="C56" t="s">
        <v>0</v>
      </c>
      <c r="D56" t="s">
        <v>1</v>
      </c>
      <c r="E56" t="s">
        <v>2</v>
      </c>
      <c r="F56" t="s">
        <v>1</v>
      </c>
      <c r="G56" t="s">
        <v>3</v>
      </c>
      <c r="H56" t="s">
        <v>1</v>
      </c>
      <c r="I56" t="s">
        <v>4</v>
      </c>
      <c r="J56" t="s">
        <v>1</v>
      </c>
    </row>
    <row r="57" spans="1:10" x14ac:dyDescent="0.35">
      <c r="B57" t="s">
        <v>5</v>
      </c>
      <c r="C57" s="1">
        <v>2216374567827.4199</v>
      </c>
      <c r="D57" s="1">
        <v>3896497005273.3398</v>
      </c>
      <c r="E57" s="1">
        <v>371135767557.66998</v>
      </c>
      <c r="F57" s="1">
        <v>4961236049255.2305</v>
      </c>
      <c r="G57" s="1">
        <f>C57-E57</f>
        <v>1845238800269.75</v>
      </c>
      <c r="H57" s="1">
        <f>SQRT(D57^2+F57^2)</f>
        <v>6308450843791.5049</v>
      </c>
      <c r="I57" s="2">
        <f>C57/E57</f>
        <v>5.9718700313168345</v>
      </c>
      <c r="J57" s="2">
        <f>SQRT((D57/C57)^2+(F57/E57)^2)*I57</f>
        <v>80.51765488983952</v>
      </c>
    </row>
    <row r="58" spans="1:10" x14ac:dyDescent="0.35">
      <c r="B58" t="s">
        <v>6</v>
      </c>
      <c r="C58" s="1">
        <v>632131728744.76099</v>
      </c>
      <c r="D58" s="1">
        <v>2625317213790.21</v>
      </c>
      <c r="E58" s="1">
        <v>2345334059953.75</v>
      </c>
      <c r="F58" s="1">
        <v>4390737793856.1899</v>
      </c>
      <c r="G58" s="1">
        <f t="shared" ref="G58:G62" si="24">C58-E58</f>
        <v>-1713202331208.989</v>
      </c>
      <c r="H58" s="1">
        <f t="shared" ref="H58:H62" si="25">SQRT(D58^2+F58^2)</f>
        <v>5115747144593.8682</v>
      </c>
      <c r="I58" s="2">
        <f t="shared" ref="I58:I62" si="26">C58/E58</f>
        <v>0.26952737332319587</v>
      </c>
      <c r="J58" s="2">
        <f t="shared" ref="J58:J62" si="27">SQRT((D58/C58)^2+(F58/E58)^2)*I58</f>
        <v>1.2278503468075908</v>
      </c>
    </row>
    <row r="59" spans="1:10" x14ac:dyDescent="0.35">
      <c r="B59" t="s">
        <v>7</v>
      </c>
      <c r="C59" s="1">
        <v>225008117147.246</v>
      </c>
      <c r="D59" s="1">
        <v>1243656462564.3501</v>
      </c>
      <c r="E59" s="1">
        <v>610614053509.83398</v>
      </c>
      <c r="F59" s="1">
        <v>1476605339987.74</v>
      </c>
      <c r="G59" s="1">
        <f t="shared" si="24"/>
        <v>-385605936362.58801</v>
      </c>
      <c r="H59" s="1">
        <f t="shared" si="25"/>
        <v>1930555548788.5818</v>
      </c>
      <c r="I59" s="2">
        <f t="shared" si="26"/>
        <v>0.36849482230860942</v>
      </c>
      <c r="J59" s="2">
        <f t="shared" si="27"/>
        <v>2.2231376705184358</v>
      </c>
    </row>
    <row r="60" spans="1:10" x14ac:dyDescent="0.35">
      <c r="B60" t="s">
        <v>8</v>
      </c>
      <c r="C60" s="1">
        <v>863841207415.43005</v>
      </c>
      <c r="D60" s="1">
        <v>256455316207.03</v>
      </c>
      <c r="E60" s="1">
        <v>549432318290.617</v>
      </c>
      <c r="F60" s="1">
        <v>195312427287.90201</v>
      </c>
      <c r="G60" s="1">
        <f t="shared" si="24"/>
        <v>314408889124.81305</v>
      </c>
      <c r="H60" s="1">
        <f t="shared" si="25"/>
        <v>322360471311.1391</v>
      </c>
      <c r="I60" s="2">
        <f t="shared" si="26"/>
        <v>1.5722431656423048</v>
      </c>
      <c r="J60" s="2">
        <f t="shared" si="27"/>
        <v>0.72817569151148376</v>
      </c>
    </row>
    <row r="61" spans="1:10" x14ac:dyDescent="0.35">
      <c r="B61" t="s">
        <v>9</v>
      </c>
      <c r="C61" s="1">
        <v>2848506296572.1802</v>
      </c>
      <c r="D61" s="1">
        <f>SQRT(D57^2+D58^2)</f>
        <v>4698401790516.3555</v>
      </c>
      <c r="E61" s="1">
        <v>1974198292396.0801</v>
      </c>
      <c r="F61" s="1">
        <f>SQRT(F57^2+F58^2)</f>
        <v>6625137093738.2695</v>
      </c>
      <c r="G61" s="1">
        <f t="shared" si="24"/>
        <v>874308004176.1001</v>
      </c>
      <c r="H61" s="1">
        <f t="shared" si="25"/>
        <v>8122033051887.5664</v>
      </c>
      <c r="I61" s="2">
        <f t="shared" si="26"/>
        <v>1.4428673692726957</v>
      </c>
      <c r="J61" s="2">
        <f t="shared" si="27"/>
        <v>5.3953242355990767</v>
      </c>
    </row>
    <row r="62" spans="1:10" x14ac:dyDescent="0.35">
      <c r="B62" t="s">
        <v>10</v>
      </c>
      <c r="C62" s="1">
        <v>2209673206303.9961</v>
      </c>
      <c r="D62" s="1">
        <f>SQRT(D57^2+D58^2+D59^2+D60^2)</f>
        <v>4866973403586.2803</v>
      </c>
      <c r="E62" s="1">
        <v>2035380027615.2971</v>
      </c>
      <c r="F62" s="1">
        <f>SQRT(F57^2+F58^2+F59^2+F60^2)</f>
        <v>6790504530972.6563</v>
      </c>
      <c r="G62" s="1">
        <f t="shared" si="24"/>
        <v>174293178688.69897</v>
      </c>
      <c r="H62" s="1">
        <f t="shared" si="25"/>
        <v>8354542590493.8916</v>
      </c>
      <c r="I62" s="2">
        <f t="shared" si="26"/>
        <v>1.085631762287117</v>
      </c>
      <c r="J62" s="2">
        <f t="shared" si="27"/>
        <v>4.3400565848400481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Donegan, Ciara E</dc:creator>
  <cp:lastModifiedBy>Donegan, Ciara E</cp:lastModifiedBy>
  <dcterms:created xsi:type="dcterms:W3CDTF">2024-06-07T16:10:43Z</dcterms:created>
  <dcterms:modified xsi:type="dcterms:W3CDTF">2024-10-07T15:58:18Z</dcterms:modified>
</cp:coreProperties>
</file>